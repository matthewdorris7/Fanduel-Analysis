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ownloads\"/>
    </mc:Choice>
  </mc:AlternateContent>
  <bookViews>
    <workbookView xWindow="0" yWindow="0" windowWidth="8550" windowHeight="7275" activeTab="2"/>
  </bookViews>
  <sheets>
    <sheet name="DraftKings Basketball  Solver" sheetId="2" r:id="rId1"/>
    <sheet name="RawData" sheetId="5" r:id="rId2"/>
    <sheet name="Sheet1" sheetId="4" r:id="rId3"/>
    <sheet name="Projections" sheetId="6" r:id="rId4"/>
  </sheets>
  <definedNames>
    <definedName name="Cost">RawData!$E$2:$H$139</definedName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Sheet1!$D$15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2" i="6"/>
  <c r="E142" i="5"/>
  <c r="F2" i="5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" i="5"/>
  <c r="A2" i="2" l="1"/>
  <c r="B2" i="2" s="1"/>
  <c r="O11" i="2" l="1"/>
  <c r="D15" i="4" s="1"/>
  <c r="O8" i="2"/>
  <c r="D16" i="4" s="1"/>
  <c r="O9" i="2"/>
  <c r="O14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18" i="2"/>
  <c r="J18" i="2"/>
  <c r="K18" i="2"/>
  <c r="L18" i="2"/>
  <c r="I19" i="2"/>
  <c r="J19" i="2"/>
  <c r="K19" i="2"/>
  <c r="L19" i="2"/>
  <c r="I20" i="2"/>
  <c r="J20" i="2"/>
  <c r="K20" i="2"/>
  <c r="L20" i="2"/>
  <c r="I21" i="2"/>
  <c r="J21" i="2"/>
  <c r="K21" i="2"/>
  <c r="L21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/>
  <c r="J37" i="2"/>
  <c r="K37" i="2"/>
  <c r="L37" i="2"/>
  <c r="I38" i="2"/>
  <c r="J38" i="2"/>
  <c r="K38" i="2"/>
  <c r="L38" i="2"/>
  <c r="I39" i="2"/>
  <c r="J39" i="2"/>
  <c r="K39" i="2"/>
  <c r="L39" i="2"/>
  <c r="I40" i="2"/>
  <c r="J40" i="2"/>
  <c r="K40" i="2"/>
  <c r="L40" i="2"/>
  <c r="I41" i="2"/>
  <c r="J41" i="2"/>
  <c r="K41" i="2"/>
  <c r="L41" i="2"/>
  <c r="I42" i="2"/>
  <c r="J42" i="2"/>
  <c r="K42" i="2"/>
  <c r="L42" i="2"/>
  <c r="I43" i="2"/>
  <c r="J43" i="2"/>
  <c r="K43" i="2"/>
  <c r="L43" i="2"/>
  <c r="I44" i="2"/>
  <c r="J44" i="2"/>
  <c r="K44" i="2"/>
  <c r="L44" i="2"/>
  <c r="I45" i="2"/>
  <c r="J45" i="2"/>
  <c r="K45" i="2"/>
  <c r="L45" i="2"/>
  <c r="I46" i="2"/>
  <c r="J46" i="2"/>
  <c r="K46" i="2"/>
  <c r="L46" i="2"/>
  <c r="I47" i="2"/>
  <c r="J47" i="2"/>
  <c r="K47" i="2"/>
  <c r="L47" i="2"/>
  <c r="I48" i="2"/>
  <c r="J48" i="2"/>
  <c r="K48" i="2"/>
  <c r="L48" i="2"/>
  <c r="I49" i="2"/>
  <c r="J49" i="2"/>
  <c r="K49" i="2"/>
  <c r="L49" i="2"/>
  <c r="I50" i="2"/>
  <c r="J50" i="2"/>
  <c r="K50" i="2"/>
  <c r="L50" i="2"/>
  <c r="I51" i="2"/>
  <c r="J51" i="2"/>
  <c r="K51" i="2"/>
  <c r="L51" i="2"/>
  <c r="I52" i="2"/>
  <c r="J52" i="2"/>
  <c r="K52" i="2"/>
  <c r="L52" i="2"/>
  <c r="I53" i="2"/>
  <c r="J53" i="2"/>
  <c r="K53" i="2"/>
  <c r="L53" i="2"/>
  <c r="I54" i="2"/>
  <c r="J54" i="2"/>
  <c r="K54" i="2"/>
  <c r="L54" i="2"/>
  <c r="I55" i="2"/>
  <c r="J55" i="2"/>
  <c r="K55" i="2"/>
  <c r="L55" i="2"/>
  <c r="I56" i="2"/>
  <c r="J56" i="2"/>
  <c r="K56" i="2"/>
  <c r="L56" i="2"/>
  <c r="I57" i="2"/>
  <c r="J57" i="2"/>
  <c r="K57" i="2"/>
  <c r="L57" i="2"/>
  <c r="I58" i="2"/>
  <c r="J58" i="2"/>
  <c r="K58" i="2"/>
  <c r="L58" i="2"/>
  <c r="I59" i="2"/>
  <c r="J59" i="2"/>
  <c r="K59" i="2"/>
  <c r="L59" i="2"/>
  <c r="I60" i="2"/>
  <c r="J60" i="2"/>
  <c r="K60" i="2"/>
  <c r="L60" i="2"/>
  <c r="I61" i="2"/>
  <c r="J61" i="2"/>
  <c r="K61" i="2"/>
  <c r="L61" i="2"/>
  <c r="I62" i="2"/>
  <c r="J62" i="2"/>
  <c r="K62" i="2"/>
  <c r="L62" i="2"/>
  <c r="I63" i="2"/>
  <c r="J63" i="2"/>
  <c r="K63" i="2"/>
  <c r="L63" i="2"/>
  <c r="I64" i="2"/>
  <c r="J64" i="2"/>
  <c r="K64" i="2"/>
  <c r="L64" i="2"/>
  <c r="I65" i="2"/>
  <c r="J65" i="2"/>
  <c r="K65" i="2"/>
  <c r="L65" i="2"/>
  <c r="I66" i="2"/>
  <c r="J66" i="2"/>
  <c r="K66" i="2"/>
  <c r="L66" i="2"/>
  <c r="I67" i="2"/>
  <c r="J67" i="2"/>
  <c r="K67" i="2"/>
  <c r="L67" i="2"/>
  <c r="I68" i="2"/>
  <c r="J68" i="2"/>
  <c r="K68" i="2"/>
  <c r="L68" i="2"/>
  <c r="I69" i="2"/>
  <c r="J69" i="2"/>
  <c r="K69" i="2"/>
  <c r="L69" i="2"/>
  <c r="I70" i="2"/>
  <c r="J70" i="2"/>
  <c r="K70" i="2"/>
  <c r="L70" i="2"/>
  <c r="I71" i="2"/>
  <c r="J71" i="2"/>
  <c r="K71" i="2"/>
  <c r="L71" i="2"/>
  <c r="I72" i="2"/>
  <c r="J72" i="2"/>
  <c r="K72" i="2"/>
  <c r="L72" i="2"/>
  <c r="I73" i="2"/>
  <c r="J73" i="2"/>
  <c r="K73" i="2"/>
  <c r="L73" i="2"/>
  <c r="I74" i="2"/>
  <c r="J74" i="2"/>
  <c r="K74" i="2"/>
  <c r="L74" i="2"/>
  <c r="I75" i="2"/>
  <c r="J75" i="2"/>
  <c r="K75" i="2"/>
  <c r="L75" i="2"/>
  <c r="I76" i="2"/>
  <c r="J76" i="2"/>
  <c r="K76" i="2"/>
  <c r="L76" i="2"/>
  <c r="I77" i="2"/>
  <c r="J77" i="2"/>
  <c r="K77" i="2"/>
  <c r="L77" i="2"/>
  <c r="I78" i="2"/>
  <c r="J78" i="2"/>
  <c r="K78" i="2"/>
  <c r="L78" i="2"/>
  <c r="I79" i="2"/>
  <c r="J79" i="2"/>
  <c r="K79" i="2"/>
  <c r="L79" i="2"/>
  <c r="I80" i="2"/>
  <c r="J80" i="2"/>
  <c r="K80" i="2"/>
  <c r="L80" i="2"/>
  <c r="I81" i="2"/>
  <c r="J81" i="2"/>
  <c r="K81" i="2"/>
  <c r="L81" i="2"/>
  <c r="I82" i="2"/>
  <c r="J82" i="2"/>
  <c r="K82" i="2"/>
  <c r="L82" i="2"/>
  <c r="I83" i="2"/>
  <c r="J83" i="2"/>
  <c r="K83" i="2"/>
  <c r="L83" i="2"/>
  <c r="I84" i="2"/>
  <c r="J84" i="2"/>
  <c r="K84" i="2"/>
  <c r="L84" i="2"/>
  <c r="I85" i="2"/>
  <c r="J85" i="2"/>
  <c r="K85" i="2"/>
  <c r="L85" i="2"/>
  <c r="I86" i="2"/>
  <c r="J86" i="2"/>
  <c r="K86" i="2"/>
  <c r="L86" i="2"/>
  <c r="I87" i="2"/>
  <c r="J87" i="2"/>
  <c r="K87" i="2"/>
  <c r="L87" i="2"/>
  <c r="I88" i="2"/>
  <c r="J88" i="2"/>
  <c r="K88" i="2"/>
  <c r="L88" i="2"/>
  <c r="I89" i="2"/>
  <c r="J89" i="2"/>
  <c r="K89" i="2"/>
  <c r="L89" i="2"/>
  <c r="I90" i="2"/>
  <c r="J90" i="2"/>
  <c r="K90" i="2"/>
  <c r="L90" i="2"/>
  <c r="I91" i="2"/>
  <c r="J91" i="2"/>
  <c r="K91" i="2"/>
  <c r="L91" i="2"/>
  <c r="I92" i="2"/>
  <c r="J92" i="2"/>
  <c r="K92" i="2"/>
  <c r="L92" i="2"/>
  <c r="I93" i="2"/>
  <c r="J93" i="2"/>
  <c r="K93" i="2"/>
  <c r="L93" i="2"/>
  <c r="I94" i="2"/>
  <c r="J94" i="2"/>
  <c r="K94" i="2"/>
  <c r="L94" i="2"/>
  <c r="I95" i="2"/>
  <c r="J95" i="2"/>
  <c r="K95" i="2"/>
  <c r="L95" i="2"/>
  <c r="I96" i="2"/>
  <c r="J96" i="2"/>
  <c r="K96" i="2"/>
  <c r="L96" i="2"/>
  <c r="I97" i="2"/>
  <c r="J97" i="2"/>
  <c r="K97" i="2"/>
  <c r="L97" i="2"/>
  <c r="I98" i="2"/>
  <c r="J98" i="2"/>
  <c r="K98" i="2"/>
  <c r="L98" i="2"/>
  <c r="I99" i="2"/>
  <c r="J99" i="2"/>
  <c r="K99" i="2"/>
  <c r="L99" i="2"/>
  <c r="I100" i="2"/>
  <c r="J100" i="2"/>
  <c r="K100" i="2"/>
  <c r="L100" i="2"/>
  <c r="I101" i="2"/>
  <c r="J101" i="2"/>
  <c r="K101" i="2"/>
  <c r="L101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19" i="2"/>
  <c r="H15" i="4" s="1"/>
  <c r="O24" i="2"/>
  <c r="I17" i="4" s="1"/>
  <c r="O20" i="2"/>
  <c r="I15" i="4" s="1"/>
  <c r="O23" i="2"/>
  <c r="H17" i="4" s="1"/>
  <c r="O18" i="2"/>
  <c r="G15" i="4" s="1"/>
  <c r="O22" i="2"/>
  <c r="G17" i="4" s="1"/>
  <c r="O21" i="2"/>
  <c r="F17" i="4" s="1"/>
  <c r="O17" i="2"/>
  <c r="F15" i="4" s="1"/>
</calcChain>
</file>

<file path=xl/sharedStrings.xml><?xml version="1.0" encoding="utf-8"?>
<sst xmlns="http://schemas.openxmlformats.org/spreadsheetml/2006/main" count="1875" uniqueCount="800">
  <si>
    <t>Position</t>
  </si>
  <si>
    <t>Game</t>
  </si>
  <si>
    <t>Team</t>
  </si>
  <si>
    <t>PG</t>
  </si>
  <si>
    <t>OKC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</si>
  <si>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</si>
  <si>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</si>
  <si>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</si>
  <si>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</si>
  <si>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</si>
  <si>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</si>
  <si>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</si>
  <si>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</si>
  <si>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</si>
  <si>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</si>
  <si>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</si>
  <si>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</si>
  <si>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</si>
  <si>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</si>
  <si>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</si>
  <si>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</si>
  <si>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</si>
  <si>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</si>
  <si>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</si>
  <si>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</si>
  <si>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</si>
  <si>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</si>
  <si>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</si>
  <si>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</si>
  <si>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</si>
  <si>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</si>
  <si>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</si>
  <si>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</si>
  <si>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</si>
  <si>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</si>
  <si>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</si>
  <si>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FPPG</t>
  </si>
  <si>
    <t>Played</t>
  </si>
  <si>
    <t>Salary</t>
  </si>
  <si>
    <t>Opponent</t>
  </si>
  <si>
    <t>Injury Indicator</t>
  </si>
  <si>
    <t>Injury Details</t>
  </si>
  <si>
    <t>James</t>
  </si>
  <si>
    <t>Harden</t>
  </si>
  <si>
    <t>HOU</t>
  </si>
  <si>
    <t>Russell</t>
  </si>
  <si>
    <t>Westbrook</t>
  </si>
  <si>
    <t>CLE</t>
  </si>
  <si>
    <t>LeBron</t>
  </si>
  <si>
    <t>Isaiah</t>
  </si>
  <si>
    <t>Thomas</t>
  </si>
  <si>
    <t>BOS</t>
  </si>
  <si>
    <t>Kevin</t>
  </si>
  <si>
    <t>Love</t>
  </si>
  <si>
    <t>Joel</t>
  </si>
  <si>
    <t>Embiid</t>
  </si>
  <si>
    <t>PHI</t>
  </si>
  <si>
    <t>ORL</t>
  </si>
  <si>
    <t>O</t>
  </si>
  <si>
    <t>Knee</t>
  </si>
  <si>
    <t>Damian</t>
  </si>
  <si>
    <t>Kyrie</t>
  </si>
  <si>
    <t>Irving</t>
  </si>
  <si>
    <t>C.J.</t>
  </si>
  <si>
    <t>Rudy</t>
  </si>
  <si>
    <t>Gobert</t>
  </si>
  <si>
    <t>UTA</t>
  </si>
  <si>
    <t>DAL</t>
  </si>
  <si>
    <t>Gordon</t>
  </si>
  <si>
    <t>Hayward</t>
  </si>
  <si>
    <t>Nicolas</t>
  </si>
  <si>
    <t>Al</t>
  </si>
  <si>
    <t>Horford</t>
  </si>
  <si>
    <t>Nikola</t>
  </si>
  <si>
    <t>Vucevic</t>
  </si>
  <si>
    <t>Avery</t>
  </si>
  <si>
    <t>Bradley</t>
  </si>
  <si>
    <t>Achilles</t>
  </si>
  <si>
    <t>Jae</t>
  </si>
  <si>
    <t>Crowder</t>
  </si>
  <si>
    <t>Victor</t>
  </si>
  <si>
    <t>Oladipo</t>
  </si>
  <si>
    <t>Harrison</t>
  </si>
  <si>
    <t>Barnes</t>
  </si>
  <si>
    <t>Elfrid</t>
  </si>
  <si>
    <t>Payton</t>
  </si>
  <si>
    <t>Deron</t>
  </si>
  <si>
    <t>Williams</t>
  </si>
  <si>
    <t>GTD</t>
  </si>
  <si>
    <t>Toe</t>
  </si>
  <si>
    <t>Steven</t>
  </si>
  <si>
    <t>Adams</t>
  </si>
  <si>
    <t>Enes</t>
  </si>
  <si>
    <t>Kanter</t>
  </si>
  <si>
    <t>Forearm</t>
  </si>
  <si>
    <t>George</t>
  </si>
  <si>
    <t>Hill</t>
  </si>
  <si>
    <t>Serge</t>
  </si>
  <si>
    <t>Ibaka</t>
  </si>
  <si>
    <t>Robert</t>
  </si>
  <si>
    <t>Covington</t>
  </si>
  <si>
    <t>Wesley</t>
  </si>
  <si>
    <t>Matthews</t>
  </si>
  <si>
    <t>Yogi</t>
  </si>
  <si>
    <t>Ferrell</t>
  </si>
  <si>
    <t>Dirk</t>
  </si>
  <si>
    <t>Nowitzki</t>
  </si>
  <si>
    <t>Marcus</t>
  </si>
  <si>
    <t>Smart</t>
  </si>
  <si>
    <t>Ersan</t>
  </si>
  <si>
    <t>Ilyasova</t>
  </si>
  <si>
    <t>Tristan</t>
  </si>
  <si>
    <t>Thompson</t>
  </si>
  <si>
    <t>Patrick</t>
  </si>
  <si>
    <t>Beverley</t>
  </si>
  <si>
    <t>Eric</t>
  </si>
  <si>
    <t>Michael</t>
  </si>
  <si>
    <t>Nerlens</t>
  </si>
  <si>
    <t>Noel</t>
  </si>
  <si>
    <t>Evan</t>
  </si>
  <si>
    <t>Fournier</t>
  </si>
  <si>
    <t>Trevor</t>
  </si>
  <si>
    <t>Ariza</t>
  </si>
  <si>
    <t>Zeller</t>
  </si>
  <si>
    <t>Derrick</t>
  </si>
  <si>
    <t>Favors</t>
  </si>
  <si>
    <t>Seth</t>
  </si>
  <si>
    <t>Curry</t>
  </si>
  <si>
    <t>Clint</t>
  </si>
  <si>
    <t>Capela</t>
  </si>
  <si>
    <t>T.J.</t>
  </si>
  <si>
    <t>McConnell</t>
  </si>
  <si>
    <t>Ben</t>
  </si>
  <si>
    <t>Simmons</t>
  </si>
  <si>
    <t>Foot</t>
  </si>
  <si>
    <t>Ryan</t>
  </si>
  <si>
    <t>Anderson</t>
  </si>
  <si>
    <t>J.J.</t>
  </si>
  <si>
    <t>Barea</t>
  </si>
  <si>
    <t>Calf</t>
  </si>
  <si>
    <t>Turner</t>
  </si>
  <si>
    <t>Jahlil</t>
  </si>
  <si>
    <t>Okafor</t>
  </si>
  <si>
    <t>Aaron</t>
  </si>
  <si>
    <t>Nene</t>
  </si>
  <si>
    <t>Hilario</t>
  </si>
  <si>
    <t>Dario</t>
  </si>
  <si>
    <t>Saric</t>
  </si>
  <si>
    <t>Channing</t>
  </si>
  <si>
    <t>Frye</t>
  </si>
  <si>
    <t>Montrezl</t>
  </si>
  <si>
    <t>Harrell</t>
  </si>
  <si>
    <t>Rodney</t>
  </si>
  <si>
    <t>Hood</t>
  </si>
  <si>
    <t>Watson</t>
  </si>
  <si>
    <t>Andre</t>
  </si>
  <si>
    <t>Roberson</t>
  </si>
  <si>
    <t>Kelly</t>
  </si>
  <si>
    <t>Olynyk</t>
  </si>
  <si>
    <t>Andrew</t>
  </si>
  <si>
    <t>Bogut</t>
  </si>
  <si>
    <t>Hamstring</t>
  </si>
  <si>
    <t>Devin</t>
  </si>
  <si>
    <t>Harris</t>
  </si>
  <si>
    <t>Iman</t>
  </si>
  <si>
    <t>Shumpert</t>
  </si>
  <si>
    <t>Ankle</t>
  </si>
  <si>
    <t>Jaylen</t>
  </si>
  <si>
    <t>Brown</t>
  </si>
  <si>
    <t>Joe</t>
  </si>
  <si>
    <t>Johnson</t>
  </si>
  <si>
    <t>Salah</t>
  </si>
  <si>
    <t>Mejri</t>
  </si>
  <si>
    <t>Amir</t>
  </si>
  <si>
    <t>Kyle</t>
  </si>
  <si>
    <t>Korver</t>
  </si>
  <si>
    <t>Ingles</t>
  </si>
  <si>
    <t>Jodie</t>
  </si>
  <si>
    <t>Meeks</t>
  </si>
  <si>
    <t>Thumb</t>
  </si>
  <si>
    <t>Joffrey</t>
  </si>
  <si>
    <t>Lauvergne</t>
  </si>
  <si>
    <t>Jerami</t>
  </si>
  <si>
    <t>Grant</t>
  </si>
  <si>
    <t>Richaun</t>
  </si>
  <si>
    <t>Holmes</t>
  </si>
  <si>
    <t>Illness</t>
  </si>
  <si>
    <t>Nik</t>
  </si>
  <si>
    <t>Stauskas</t>
  </si>
  <si>
    <t>Alex</t>
  </si>
  <si>
    <t>Abrines</t>
  </si>
  <si>
    <t>Dante</t>
  </si>
  <si>
    <t>Exum</t>
  </si>
  <si>
    <t>Raul</t>
  </si>
  <si>
    <t>Neto</t>
  </si>
  <si>
    <t>Wilcox</t>
  </si>
  <si>
    <t>J.R.</t>
  </si>
  <si>
    <t>Smith</t>
  </si>
  <si>
    <t>Chris</t>
  </si>
  <si>
    <t>Andersen</t>
  </si>
  <si>
    <t>Brussino</t>
  </si>
  <si>
    <t>Jonathan</t>
  </si>
  <si>
    <t>Gibson</t>
  </si>
  <si>
    <t>Demetrius</t>
  </si>
  <si>
    <t>Jackson</t>
  </si>
  <si>
    <t>Kay</t>
  </si>
  <si>
    <t>Felder</t>
  </si>
  <si>
    <t>Anthony</t>
  </si>
  <si>
    <t>Morrow</t>
  </si>
  <si>
    <t>Jones</t>
  </si>
  <si>
    <t>Josh</t>
  </si>
  <si>
    <t>Huestis</t>
  </si>
  <si>
    <t>Dwight</t>
  </si>
  <si>
    <t>Powell</t>
  </si>
  <si>
    <t>Chasson</t>
  </si>
  <si>
    <t>Randle</t>
  </si>
  <si>
    <t>Damjan</t>
  </si>
  <si>
    <t>Rudez</t>
  </si>
  <si>
    <t>Tyler</t>
  </si>
  <si>
    <t>Trey</t>
  </si>
  <si>
    <t>Lyles</t>
  </si>
  <si>
    <t>Jordan</t>
  </si>
  <si>
    <t>McRae</t>
  </si>
  <si>
    <t>Mickey</t>
  </si>
  <si>
    <t>Semaj</t>
  </si>
  <si>
    <t>Christon</t>
  </si>
  <si>
    <t>Bobby</t>
  </si>
  <si>
    <t>Jeff</t>
  </si>
  <si>
    <t>Withey</t>
  </si>
  <si>
    <t>Gerald</t>
  </si>
  <si>
    <t>Green</t>
  </si>
  <si>
    <t>Corey</t>
  </si>
  <si>
    <t>Brewer</t>
  </si>
  <si>
    <t>Chinanu</t>
  </si>
  <si>
    <t>Onuaku</t>
  </si>
  <si>
    <t>Allen</t>
  </si>
  <si>
    <t>Mario</t>
  </si>
  <si>
    <t>Hezonja</t>
  </si>
  <si>
    <t>Bolomboy</t>
  </si>
  <si>
    <t>Wiltjer</t>
  </si>
  <si>
    <t>Stephen</t>
  </si>
  <si>
    <t>Zimmerman Jr.</t>
  </si>
  <si>
    <t>Timothe</t>
  </si>
  <si>
    <t>Luwawu-Cabarrot</t>
  </si>
  <si>
    <t>Bismack</t>
  </si>
  <si>
    <t>Biyombo</t>
  </si>
  <si>
    <t>K.J.</t>
  </si>
  <si>
    <t>McDaniels</t>
  </si>
  <si>
    <t>Alec</t>
  </si>
  <si>
    <t>Burks</t>
  </si>
  <si>
    <t>Young</t>
  </si>
  <si>
    <t>Personal</t>
  </si>
  <si>
    <t>Nick</t>
  </si>
  <si>
    <t>Collison</t>
  </si>
  <si>
    <t>Terry</t>
  </si>
  <si>
    <t>Rozier</t>
  </si>
  <si>
    <t>Cameron</t>
  </si>
  <si>
    <t>Payne</t>
  </si>
  <si>
    <t>Justin</t>
  </si>
  <si>
    <t>Ennis</t>
  </si>
  <si>
    <t>Singler</t>
  </si>
  <si>
    <t>Shelvin</t>
  </si>
  <si>
    <t>Mack</t>
  </si>
  <si>
    <t>Mike</t>
  </si>
  <si>
    <t>DeAndre</t>
  </si>
  <si>
    <t>Liggins</t>
  </si>
  <si>
    <t>Domantas</t>
  </si>
  <si>
    <t>Sabonis</t>
  </si>
  <si>
    <t>Henderson</t>
  </si>
  <si>
    <t>Miles</t>
  </si>
  <si>
    <t>A.J.</t>
  </si>
  <si>
    <t>Hammons</t>
  </si>
  <si>
    <t>Richard</t>
  </si>
  <si>
    <t>Jefferson</t>
  </si>
  <si>
    <t>Jonas</t>
  </si>
  <si>
    <t>Jerebko</t>
  </si>
  <si>
    <t>Sam</t>
  </si>
  <si>
    <t>Dekker</t>
  </si>
  <si>
    <t>Dorian</t>
  </si>
  <si>
    <t>Finney-Smith</t>
  </si>
  <si>
    <t>D.J.</t>
  </si>
  <si>
    <t>Augustin</t>
  </si>
  <si>
    <t>Sergio</t>
  </si>
  <si>
    <t>Rodriguez</t>
  </si>
  <si>
    <t>Boris</t>
  </si>
  <si>
    <t>Diaw</t>
  </si>
  <si>
    <t>Injury?</t>
  </si>
  <si>
    <t>C 1</t>
  </si>
  <si>
    <t>Giannis</t>
  </si>
  <si>
    <t>Antetokounmpo</t>
  </si>
  <si>
    <t>MIL</t>
  </si>
  <si>
    <t>John</t>
  </si>
  <si>
    <t>IND</t>
  </si>
  <si>
    <t>Durant</t>
  </si>
  <si>
    <t>GS</t>
  </si>
  <si>
    <t>Jokic</t>
  </si>
  <si>
    <t>DEN</t>
  </si>
  <si>
    <t>PHO</t>
  </si>
  <si>
    <t>Hassan</t>
  </si>
  <si>
    <t>Whiteside</t>
  </si>
  <si>
    <t>MIA</t>
  </si>
  <si>
    <t>Paul</t>
  </si>
  <si>
    <t>Bledsoe</t>
  </si>
  <si>
    <t>Goran</t>
  </si>
  <si>
    <t>Dragic</t>
  </si>
  <si>
    <t>Draymond</t>
  </si>
  <si>
    <t>Teague</t>
  </si>
  <si>
    <t>Dion</t>
  </si>
  <si>
    <t>Waiters</t>
  </si>
  <si>
    <t>Danilo</t>
  </si>
  <si>
    <t>Gallinari</t>
  </si>
  <si>
    <t>Groin</t>
  </si>
  <si>
    <t>Booker</t>
  </si>
  <si>
    <t>Klay</t>
  </si>
  <si>
    <t>Wilson</t>
  </si>
  <si>
    <t>Chandler</t>
  </si>
  <si>
    <t>Myles</t>
  </si>
  <si>
    <t>Kenneth</t>
  </si>
  <si>
    <t>Faried</t>
  </si>
  <si>
    <t>Hernangomez</t>
  </si>
  <si>
    <t>Greg</t>
  </si>
  <si>
    <t>Monroe</t>
  </si>
  <si>
    <t>Will</t>
  </si>
  <si>
    <t>Barton</t>
  </si>
  <si>
    <t>Thaddeus</t>
  </si>
  <si>
    <t>Wrist</t>
  </si>
  <si>
    <t>Tyson</t>
  </si>
  <si>
    <t>Richardson</t>
  </si>
  <si>
    <t>Brandon</t>
  </si>
  <si>
    <t>David</t>
  </si>
  <si>
    <t>Gary</t>
  </si>
  <si>
    <t>Malcolm</t>
  </si>
  <si>
    <t>Brogdon</t>
  </si>
  <si>
    <t>Emmanuel</t>
  </si>
  <si>
    <t>Mudiay</t>
  </si>
  <si>
    <t>Back</t>
  </si>
  <si>
    <t>P.J.</t>
  </si>
  <si>
    <t>Tucker</t>
  </si>
  <si>
    <t>Spencer</t>
  </si>
  <si>
    <t>Hawes</t>
  </si>
  <si>
    <t>Warren</t>
  </si>
  <si>
    <t>Tony</t>
  </si>
  <si>
    <t>Zaza</t>
  </si>
  <si>
    <t>Pachulia</t>
  </si>
  <si>
    <t>Shoulder</t>
  </si>
  <si>
    <t>Beasley</t>
  </si>
  <si>
    <t>Khris</t>
  </si>
  <si>
    <t>Middleton</t>
  </si>
  <si>
    <t>Jameer</t>
  </si>
  <si>
    <t>Nelson</t>
  </si>
  <si>
    <t>Darrell</t>
  </si>
  <si>
    <t>Arthur</t>
  </si>
  <si>
    <t>Matthew</t>
  </si>
  <si>
    <t>Dellavedova</t>
  </si>
  <si>
    <t>Shaun</t>
  </si>
  <si>
    <t>Livingston</t>
  </si>
  <si>
    <t>Iguodala</t>
  </si>
  <si>
    <t>Mirza</t>
  </si>
  <si>
    <t>Teletovic</t>
  </si>
  <si>
    <t>Jamal</t>
  </si>
  <si>
    <t>Murray</t>
  </si>
  <si>
    <t>Snell</t>
  </si>
  <si>
    <t>Henson</t>
  </si>
  <si>
    <t>Marquese</t>
  </si>
  <si>
    <t>Chriss</t>
  </si>
  <si>
    <t>Lavoy</t>
  </si>
  <si>
    <t>Ian</t>
  </si>
  <si>
    <t>Willie</t>
  </si>
  <si>
    <t>McGruder</t>
  </si>
  <si>
    <t>Knight</t>
  </si>
  <si>
    <t>Wayne</t>
  </si>
  <si>
    <t>Ellington</t>
  </si>
  <si>
    <t>Jusuf</t>
  </si>
  <si>
    <t>Nurkic</t>
  </si>
  <si>
    <t>Rashad</t>
  </si>
  <si>
    <t>Vaughn</t>
  </si>
  <si>
    <t>Jason</t>
  </si>
  <si>
    <t>Ronnie</t>
  </si>
  <si>
    <t>Price</t>
  </si>
  <si>
    <t>JaVale</t>
  </si>
  <si>
    <t>McGee</t>
  </si>
  <si>
    <t>Rest</t>
  </si>
  <si>
    <t>Monta</t>
  </si>
  <si>
    <t>Ellis</t>
  </si>
  <si>
    <t>Len</t>
  </si>
  <si>
    <t>Jared</t>
  </si>
  <si>
    <t>Dudley</t>
  </si>
  <si>
    <t>Miller</t>
  </si>
  <si>
    <t>Malik</t>
  </si>
  <si>
    <t>Seraphin</t>
  </si>
  <si>
    <t>Luke</t>
  </si>
  <si>
    <t>Babbitt</t>
  </si>
  <si>
    <t>James Michael</t>
  </si>
  <si>
    <t>McAdoo</t>
  </si>
  <si>
    <t>Ulis</t>
  </si>
  <si>
    <t>Georges</t>
  </si>
  <si>
    <t>Niang</t>
  </si>
  <si>
    <t>Alan</t>
  </si>
  <si>
    <t>Dragan</t>
  </si>
  <si>
    <t>Bender</t>
  </si>
  <si>
    <t>Thon</t>
  </si>
  <si>
    <t>Maker</t>
  </si>
  <si>
    <t>Steve</t>
  </si>
  <si>
    <t>Novak</t>
  </si>
  <si>
    <t>Juancho</t>
  </si>
  <si>
    <t>Kevon</t>
  </si>
  <si>
    <t>Looney</t>
  </si>
  <si>
    <t>Glenn</t>
  </si>
  <si>
    <t>Robinson III</t>
  </si>
  <si>
    <t>Okaro</t>
  </si>
  <si>
    <t>White</t>
  </si>
  <si>
    <t>Varejao</t>
  </si>
  <si>
    <t>McCaw</t>
  </si>
  <si>
    <t>Stuckey</t>
  </si>
  <si>
    <t>Reed</t>
  </si>
  <si>
    <t>Brooks</t>
  </si>
  <si>
    <t>Rakeem</t>
  </si>
  <si>
    <t>Christmas</t>
  </si>
  <si>
    <t>Roy</t>
  </si>
  <si>
    <t>Hibbert</t>
  </si>
  <si>
    <t>Clark</t>
  </si>
  <si>
    <t>Udonis</t>
  </si>
  <si>
    <t>Haslem</t>
  </si>
  <si>
    <t>Jones Jr.</t>
  </si>
  <si>
    <t>West</t>
  </si>
  <si>
    <t>Leandro</t>
  </si>
  <si>
    <t>Barbosa</t>
  </si>
  <si>
    <t>17962-9642</t>
  </si>
  <si>
    <t>GS@OKC</t>
  </si>
  <si>
    <t>17962-9644</t>
  </si>
  <si>
    <t>PHO@HOU</t>
  </si>
  <si>
    <t>17962-40199</t>
  </si>
  <si>
    <t>MIL@IND</t>
  </si>
  <si>
    <t>17962-9488</t>
  </si>
  <si>
    <t>DEN@CLE</t>
  </si>
  <si>
    <t>17962-9646</t>
  </si>
  <si>
    <t>17962-55062</t>
  </si>
  <si>
    <t>17962-14559</t>
  </si>
  <si>
    <t>BOS@UTA</t>
  </si>
  <si>
    <t>17962-9524</t>
  </si>
  <si>
    <t>17962-12363</t>
  </si>
  <si>
    <t>MIA@PHI</t>
  </si>
  <si>
    <t>17962-12341</t>
  </si>
  <si>
    <t>17962-49111</t>
  </si>
  <si>
    <t>17962-12355</t>
  </si>
  <si>
    <t>17962-14498</t>
  </si>
  <si>
    <t>17962-9874</t>
  </si>
  <si>
    <t>17962-12366</t>
  </si>
  <si>
    <t>17962-9673</t>
  </si>
  <si>
    <t>17962-15860</t>
  </si>
  <si>
    <t>17962-40203</t>
  </si>
  <si>
    <t>17962-9446</t>
  </si>
  <si>
    <t>17962-14514</t>
  </si>
  <si>
    <t>ORL@DAL</t>
  </si>
  <si>
    <t>17962-9453</t>
  </si>
  <si>
    <t>17962-16220</t>
  </si>
  <si>
    <t>17962-9637</t>
  </si>
  <si>
    <t>17962-58460</t>
  </si>
  <si>
    <t>17962-14509</t>
  </si>
  <si>
    <t>17962-9636</t>
  </si>
  <si>
    <t>17962-12334</t>
  </si>
  <si>
    <t>17962-15946</t>
  </si>
  <si>
    <t>17962-15684</t>
  </si>
  <si>
    <t>17962-58253</t>
  </si>
  <si>
    <t>17962-20491</t>
  </si>
  <si>
    <t>17962-23169</t>
  </si>
  <si>
    <t>17962-17333</t>
  </si>
  <si>
    <t>17962-15800</t>
  </si>
  <si>
    <t>17962-9722</t>
  </si>
  <si>
    <t>17962-14516</t>
  </si>
  <si>
    <t>17962-14521</t>
  </si>
  <si>
    <t>17962-9703</t>
  </si>
  <si>
    <t>17962-9957</t>
  </si>
  <si>
    <t>17962-9966</t>
  </si>
  <si>
    <t>17962-19138</t>
  </si>
  <si>
    <t>17962-12337</t>
  </si>
  <si>
    <t>17962-9799</t>
  </si>
  <si>
    <t>17962-23670</t>
  </si>
  <si>
    <t>17962-23772</t>
  </si>
  <si>
    <t>17962-9500</t>
  </si>
  <si>
    <t>17962-9666</t>
  </si>
  <si>
    <t>17962-18600</t>
  </si>
  <si>
    <t>17962-9598</t>
  </si>
  <si>
    <t>17962-23096</t>
  </si>
  <si>
    <t>17962-15583</t>
  </si>
  <si>
    <t>17962-9473</t>
  </si>
  <si>
    <t>17962-9538</t>
  </si>
  <si>
    <t>17962-9556</t>
  </si>
  <si>
    <t>17962-14501</t>
  </si>
  <si>
    <t>17962-12474</t>
  </si>
  <si>
    <t>17962-18393</t>
  </si>
  <si>
    <t>17962-55059</t>
  </si>
  <si>
    <t>17962-16233</t>
  </si>
  <si>
    <t>17962-23825</t>
  </si>
  <si>
    <t>17962-24544</t>
  </si>
  <si>
    <t>17962-16359</t>
  </si>
  <si>
    <t>17962-12351</t>
  </si>
  <si>
    <t>17962-66115</t>
  </si>
  <si>
    <t>17962-63124</t>
  </si>
  <si>
    <t>17962-55056</t>
  </si>
  <si>
    <t>17962-9772</t>
  </si>
  <si>
    <t>17962-9495</t>
  </si>
  <si>
    <t>17962-23407</t>
  </si>
  <si>
    <t>17962-9700</t>
  </si>
  <si>
    <t>17962-58083</t>
  </si>
  <si>
    <t>17962-23120</t>
  </si>
  <si>
    <t>17962-41594</t>
  </si>
  <si>
    <t>17962-9454</t>
  </si>
  <si>
    <t>17962-9512</t>
  </si>
  <si>
    <t>17962-9587</t>
  </si>
  <si>
    <t>17962-16261</t>
  </si>
  <si>
    <t>17962-9652</t>
  </si>
  <si>
    <t>17962-23776</t>
  </si>
  <si>
    <t>17962-9580</t>
  </si>
  <si>
    <t>17962-22541</t>
  </si>
  <si>
    <t>17962-15904</t>
  </si>
  <si>
    <t>17962-20064</t>
  </si>
  <si>
    <t>17962-15548</t>
  </si>
  <si>
    <t>17962-9643</t>
  </si>
  <si>
    <t>17962-9664</t>
  </si>
  <si>
    <t>17962-9725</t>
  </si>
  <si>
    <t>17962-23178</t>
  </si>
  <si>
    <t>17962-9525</t>
  </si>
  <si>
    <t>17962-9613</t>
  </si>
  <si>
    <t>17962-9678</t>
  </si>
  <si>
    <t>17962-66108</t>
  </si>
  <si>
    <t>17962-17517</t>
  </si>
  <si>
    <t>17962-23801</t>
  </si>
  <si>
    <t>17962-9601</t>
  </si>
  <si>
    <t>17962-15952</t>
  </si>
  <si>
    <t>17962-67707</t>
  </si>
  <si>
    <t>17962-9870</t>
  </si>
  <si>
    <t>17962-14515</t>
  </si>
  <si>
    <t>17962-9447</t>
  </si>
  <si>
    <t>17962-14549</t>
  </si>
  <si>
    <t>17962-15744</t>
  </si>
  <si>
    <t>17962-59318</t>
  </si>
  <si>
    <t>17962-67026</t>
  </si>
  <si>
    <t>17962-64017</t>
  </si>
  <si>
    <t>17962-9862</t>
  </si>
  <si>
    <t>17962-14506</t>
  </si>
  <si>
    <t>17962-14533</t>
  </si>
  <si>
    <t>17962-9956</t>
  </si>
  <si>
    <t>17962-9968</t>
  </si>
  <si>
    <t>17962-55057</t>
  </si>
  <si>
    <t>17962-58661</t>
  </si>
  <si>
    <t>17962-9723</t>
  </si>
  <si>
    <t>17962-9739</t>
  </si>
  <si>
    <t>17962-14505</t>
  </si>
  <si>
    <t>17962-14510</t>
  </si>
  <si>
    <t>17962-42677</t>
  </si>
  <si>
    <t>17962-9526</t>
  </si>
  <si>
    <t>17962-9609</t>
  </si>
  <si>
    <t>17962-23447</t>
  </si>
  <si>
    <t>17962-48567</t>
  </si>
  <si>
    <t>17962-15814</t>
  </si>
  <si>
    <t>17962-9677</t>
  </si>
  <si>
    <t>17962-9734</t>
  </si>
  <si>
    <t>17962-66064</t>
  </si>
  <si>
    <t>17962-16411</t>
  </si>
  <si>
    <t>17962-12335</t>
  </si>
  <si>
    <t>17962-43064</t>
  </si>
  <si>
    <t>17962-9785</t>
  </si>
  <si>
    <t>17962-12349</t>
  </si>
  <si>
    <t>17962-55376</t>
  </si>
  <si>
    <t>17962-15955</t>
  </si>
  <si>
    <t>17962-15961</t>
  </si>
  <si>
    <t>17962-58461</t>
  </si>
  <si>
    <t>17962-58463</t>
  </si>
  <si>
    <t>17962-41063</t>
  </si>
  <si>
    <t>17962-23148</t>
  </si>
  <si>
    <t>17962-23156</t>
  </si>
  <si>
    <t>17962-9849</t>
  </si>
  <si>
    <t>17962-41082</t>
  </si>
  <si>
    <t>17962-17542</t>
  </si>
  <si>
    <t>17962-58505</t>
  </si>
  <si>
    <t>17962-63123</t>
  </si>
  <si>
    <t>17962-23189</t>
  </si>
  <si>
    <t>17962-70819</t>
  </si>
  <si>
    <t>17962-14500</t>
  </si>
  <si>
    <t>17962-70820</t>
  </si>
  <si>
    <t>17962-9895</t>
  </si>
  <si>
    <t>17962-70822</t>
  </si>
  <si>
    <t>17962-70825</t>
  </si>
  <si>
    <t>17962-15532</t>
  </si>
  <si>
    <t>17962-42671</t>
  </si>
  <si>
    <t>17962-23744</t>
  </si>
  <si>
    <t>17962-42689</t>
  </si>
  <si>
    <t>17962-14532</t>
  </si>
  <si>
    <t>17962-58576</t>
  </si>
  <si>
    <t>17962-14552</t>
  </si>
  <si>
    <t>Teeth</t>
  </si>
  <si>
    <t>17962-9951</t>
  </si>
  <si>
    <t>17962-23273</t>
  </si>
  <si>
    <t>17962-9962</t>
  </si>
  <si>
    <t>17962-23282</t>
  </si>
  <si>
    <t>17962-23800</t>
  </si>
  <si>
    <t>17962-9466</t>
  </si>
  <si>
    <t>17962-71420</t>
  </si>
  <si>
    <t>17962-9471</t>
  </si>
  <si>
    <t>17962-15620</t>
  </si>
  <si>
    <t>17962-40206</t>
  </si>
  <si>
    <t>17962-55055</t>
  </si>
  <si>
    <t>17962-40208</t>
  </si>
  <si>
    <t>17962-40209</t>
  </si>
  <si>
    <t>17962-9490</t>
  </si>
  <si>
    <t>17962-23831</t>
  </si>
  <si>
    <t>17962-9496</t>
  </si>
  <si>
    <t>17962-9506</t>
  </si>
  <si>
    <t>17962-58658</t>
  </si>
  <si>
    <t>17962-9513</t>
  </si>
  <si>
    <t>17962-9514</t>
  </si>
  <si>
    <t>17962-71469</t>
  </si>
  <si>
    <t>17962-71468</t>
  </si>
  <si>
    <t>17962-41269</t>
  </si>
  <si>
    <t>17962-34615</t>
  </si>
  <si>
    <t>17962-9529</t>
  </si>
  <si>
    <t>17962-16188</t>
  </si>
  <si>
    <t>17962-9534</t>
  </si>
  <si>
    <t>17962-16191</t>
  </si>
  <si>
    <t>17962-16196</t>
  </si>
  <si>
    <t>17962-16197</t>
  </si>
  <si>
    <t>17962-16202</t>
  </si>
  <si>
    <t>17962-9553</t>
  </si>
  <si>
    <t>17962-17747</t>
  </si>
  <si>
    <t>17962-16230</t>
  </si>
  <si>
    <t>17962-74101</t>
  </si>
  <si>
    <t>17962-9589</t>
  </si>
  <si>
    <t>17962-15736</t>
  </si>
  <si>
    <t>17962-9606</t>
  </si>
  <si>
    <t>17962-18828</t>
  </si>
  <si>
    <t>17962-15767</t>
  </si>
  <si>
    <t>17962-66966</t>
  </si>
  <si>
    <t>17962-66968</t>
  </si>
  <si>
    <t>17962-9629</t>
  </si>
  <si>
    <t>17962-9648</t>
  </si>
  <si>
    <t>17962-9649</t>
  </si>
  <si>
    <t>17962-9674</t>
  </si>
  <si>
    <t>17962-59358</t>
  </si>
  <si>
    <t>17962-9706</t>
  </si>
  <si>
    <t>17962-16376</t>
  </si>
  <si>
    <t>Alex Len</t>
  </si>
  <si>
    <t>Alan Williams</t>
  </si>
  <si>
    <t>Clint Capela</t>
  </si>
  <si>
    <t>Steven Adams</t>
  </si>
  <si>
    <t>JaVale McGee</t>
  </si>
  <si>
    <t>Myles Turner</t>
  </si>
  <si>
    <t>Serge Ibaka</t>
  </si>
  <si>
    <t>Trevor Ariza</t>
  </si>
  <si>
    <t>Andre Roberson</t>
  </si>
  <si>
    <t>Domantas Sabonis</t>
  </si>
  <si>
    <t>Jahlil Okafor</t>
  </si>
  <si>
    <t>Marquese Chriss</t>
  </si>
  <si>
    <t>T.J. Warren</t>
  </si>
  <si>
    <t>Alec Burks</t>
  </si>
  <si>
    <t>Joffrey Lauvergne</t>
  </si>
  <si>
    <t>Nerlens Noel</t>
  </si>
  <si>
    <t>Kyrie Irving</t>
  </si>
  <si>
    <t>George Hill</t>
  </si>
  <si>
    <t>Evan Fournier</t>
  </si>
  <si>
    <t>Ryan Anderson</t>
  </si>
  <si>
    <t>Victor Oladipo</t>
  </si>
  <si>
    <t>Gary Harris</t>
  </si>
  <si>
    <t>C.J. Miles</t>
  </si>
  <si>
    <t>Jeff Teague</t>
  </si>
  <si>
    <t>Harrison Barnes</t>
  </si>
  <si>
    <t>Russell Westbrook</t>
  </si>
  <si>
    <t>Wilson Chandler</t>
  </si>
  <si>
    <t>Robert Covington</t>
  </si>
  <si>
    <t>Eric Gordon</t>
  </si>
  <si>
    <t>Wesley Matthews</t>
  </si>
  <si>
    <t>James Harden</t>
  </si>
  <si>
    <t>LeBron James</t>
  </si>
  <si>
    <t>Tristan Thompson</t>
  </si>
  <si>
    <t>Joe Ingles</t>
  </si>
  <si>
    <t>Jamal Murray</t>
  </si>
  <si>
    <t>Isaiah Thomas</t>
  </si>
  <si>
    <t>Dario Saric</t>
  </si>
  <si>
    <t>Ersan Ilyasova</t>
  </si>
  <si>
    <t>P.J. Tucker</t>
  </si>
  <si>
    <t>Rudy Gobert</t>
  </si>
  <si>
    <t>Kevin Love</t>
  </si>
  <si>
    <t>Tyler Johnson</t>
  </si>
  <si>
    <t>Paul George</t>
  </si>
  <si>
    <t>Dirk Nowitzki</t>
  </si>
  <si>
    <t>Devin Booker</t>
  </si>
  <si>
    <t>Giannis Antetokounmpo</t>
  </si>
  <si>
    <t>Sam Dekker</t>
  </si>
  <si>
    <t>Nikola Jokic</t>
  </si>
  <si>
    <t>Monta Ellis</t>
  </si>
  <si>
    <t>Derrick Favors</t>
  </si>
  <si>
    <t>Gerald Henderson</t>
  </si>
  <si>
    <t>Andre Iguodala</t>
  </si>
  <si>
    <t>Will Barton</t>
  </si>
  <si>
    <t>T.J. McConnell</t>
  </si>
  <si>
    <t>Yogi Ferrell</t>
  </si>
  <si>
    <t>Rodney McGruder</t>
  </si>
  <si>
    <t>Patrick Beverley</t>
  </si>
  <si>
    <t>Hassan Whiteside</t>
  </si>
  <si>
    <t>Stephen Curry</t>
  </si>
  <si>
    <t>Bismack Biyombo</t>
  </si>
  <si>
    <t>Goran Dragic</t>
  </si>
  <si>
    <t>Klay Thompson</t>
  </si>
  <si>
    <t>Michael Beasley</t>
  </si>
  <si>
    <t>Greg Monroe</t>
  </si>
  <si>
    <t>Al Horford</t>
  </si>
  <si>
    <t>Nikola Vucevic</t>
  </si>
  <si>
    <t>John Henson</t>
  </si>
  <si>
    <t>Kyle Korver</t>
  </si>
  <si>
    <t>Seth Curry</t>
  </si>
  <si>
    <t>Lavoy Allen</t>
  </si>
  <si>
    <t>Amir Johnson</t>
  </si>
  <si>
    <t>Gordon Hayward</t>
  </si>
  <si>
    <t>Kevin Durant</t>
  </si>
  <si>
    <t>Draymond Green</t>
  </si>
  <si>
    <t>James McAdoo</t>
  </si>
  <si>
    <t>James Johnson</t>
  </si>
  <si>
    <t>Jaylen Brown</t>
  </si>
  <si>
    <t>Matthew Dellavedova</t>
  </si>
  <si>
    <t>Kevin Seraphin</t>
  </si>
  <si>
    <t>Malcolm Brogdon</t>
  </si>
  <si>
    <t>Elfrid Payton</t>
  </si>
  <si>
    <t>Cameron Payne</t>
  </si>
  <si>
    <t>Joe Johnson</t>
  </si>
  <si>
    <t>Jameer Nelson</t>
  </si>
  <si>
    <t>Devin Harris</t>
  </si>
  <si>
    <t>Nene Hilario</t>
  </si>
  <si>
    <t>Sergio Rodriguez</t>
  </si>
  <si>
    <t>Nik Stauskas</t>
  </si>
  <si>
    <t>D.J. Augustin</t>
  </si>
  <si>
    <t>Glenn Robinson</t>
  </si>
  <si>
    <t>Marcus Smart</t>
  </si>
  <si>
    <t>Darrell Arthur</t>
  </si>
  <si>
    <t>Rodney Stuckey</t>
  </si>
  <si>
    <t>Kevon Looney</t>
  </si>
  <si>
    <t>Brandon Knight</t>
  </si>
  <si>
    <t>Terry Rozier</t>
  </si>
  <si>
    <t>Ian Clark</t>
  </si>
  <si>
    <t>Dion Waiters</t>
  </si>
  <si>
    <t>Kelly Olynyk</t>
  </si>
  <si>
    <t>Shaun Livingston</t>
  </si>
  <si>
    <t>Boris Diaw</t>
  </si>
  <si>
    <t>C.J. Watson</t>
  </si>
  <si>
    <t>Jeff Green</t>
  </si>
  <si>
    <t>Okaro White</t>
  </si>
  <si>
    <t>Montrezl Harrell</t>
  </si>
  <si>
    <t>Corey Brewer</t>
  </si>
  <si>
    <t>Mirza Teletovic</t>
  </si>
  <si>
    <t>Dorian Finney-Smith</t>
  </si>
  <si>
    <t>Dwight Powell</t>
  </si>
  <si>
    <t>Wayne Ellington</t>
  </si>
  <si>
    <t>Al Jefferson</t>
  </si>
  <si>
    <t>Luke Babbitt</t>
  </si>
  <si>
    <t>Salah Mejri</t>
  </si>
  <si>
    <t>Anthony Morrow</t>
  </si>
  <si>
    <t>Jonas Jerebko</t>
  </si>
  <si>
    <t>Channing Frye</t>
  </si>
  <si>
    <t>Juan Hernangomez</t>
  </si>
  <si>
    <t>Trey Lyles</t>
  </si>
  <si>
    <t>Tony Snell</t>
  </si>
  <si>
    <t>Jerami Grant</t>
  </si>
  <si>
    <t>Dante Exum</t>
  </si>
  <si>
    <t>Jason Terry</t>
  </si>
  <si>
    <t>Patrick McCaw</t>
  </si>
  <si>
    <t>Jared Dudley</t>
  </si>
  <si>
    <t>Willie Reed</t>
  </si>
  <si>
    <t>Richard Jefferson</t>
  </si>
  <si>
    <t>Gerald Green</t>
  </si>
  <si>
    <t>Leandro Barbosa</t>
  </si>
  <si>
    <t>Kay Felder</t>
  </si>
  <si>
    <t>Jusuf Nurkic</t>
  </si>
  <si>
    <t>Justin Anderson</t>
  </si>
  <si>
    <t>Spencer Hawes</t>
  </si>
  <si>
    <t>Mario Hezonja</t>
  </si>
  <si>
    <t>Thon Maker</t>
  </si>
  <si>
    <t>DeAndre Liggins</t>
  </si>
  <si>
    <t>Name</t>
  </si>
  <si>
    <t>Blake Griffin</t>
  </si>
  <si>
    <t>Kemba Walker</t>
  </si>
  <si>
    <t>Nicolas Batum</t>
  </si>
  <si>
    <t>DeAndre Jordan</t>
  </si>
  <si>
    <t>Marvin Williams</t>
  </si>
  <si>
    <t>Austin Rivers</t>
  </si>
  <si>
    <t>Deron Williams</t>
  </si>
  <si>
    <t>Cody Zeller</t>
  </si>
  <si>
    <t>Michael Kidd-Gilchrist</t>
  </si>
  <si>
    <t>J.J. Redick</t>
  </si>
  <si>
    <t>Marreese Speights</t>
  </si>
  <si>
    <t>Jamal Crawford</t>
  </si>
  <si>
    <t>Raymond Felton</t>
  </si>
  <si>
    <t>Iman Shumpert</t>
  </si>
  <si>
    <t>Frank Kaminsky</t>
  </si>
  <si>
    <t>Marco Belinelli</t>
  </si>
  <si>
    <t>Jeremy Lamb</t>
  </si>
  <si>
    <t>Miles Plumlee</t>
  </si>
  <si>
    <t>Derrick Williams</t>
  </si>
  <si>
    <t>Brian Roberts</t>
  </si>
  <si>
    <t>Wesley Johnson</t>
  </si>
  <si>
    <t>Luc Richard Mbah a Moute</t>
  </si>
  <si>
    <t>Brandon Bass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</si>
</sst>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sz val="10"/>
      <color rgb="FF000000"/>
      <name val="Arial Unicode MS"/>
      <family val="2"/>
    </font>
    <font>
      <sz val="9"/>
      <color rgb="FF2D363B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35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  <xf numFmtId="8" fontId="36" fillId="0" borderId="0" xfId="0" applyNumberFormat="1" applyFont="1" applyAlignment="1">
      <alignment horizontal="left" vertical="center" indent="1"/>
    </xf>
    <xf numFmtId="8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9</xdr:col>
      <xdr:colOff>133350</xdr:colOff>
      <xdr:row>11</xdr:row>
      <xdr:rowOff>142875</xdr:rowOff>
    </xdr:to>
    <xdr:pic>
      <xdr:nvPicPr>
        <xdr:cNvPr id="16" name="Picture 15" descr="Image result for fanduel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13</v>
      </c>
      <c r="C1" t="s">
        <v>14</v>
      </c>
      <c r="D1" t="s">
        <v>9</v>
      </c>
      <c r="E1" t="s">
        <v>10</v>
      </c>
      <c r="F1" t="s">
        <v>11</v>
      </c>
      <c r="G1" t="s">
        <v>12</v>
      </c>
      <c r="H1" t="s">
        <v>3</v>
      </c>
      <c r="I1" t="s">
        <v>8</v>
      </c>
      <c r="J1" t="s">
        <v>6</v>
      </c>
      <c r="K1" t="s">
        <v>5</v>
      </c>
      <c r="L1" t="s">
        <v>7</v>
      </c>
      <c r="M1" t="s">
        <v>286</v>
      </c>
      <c r="N1" t="s">
        <v>0</v>
      </c>
      <c r="O1" t="s">
        <v>15</v>
      </c>
      <c r="P1" t="s">
        <v>16</v>
      </c>
      <c r="T1">
        <v>8</v>
      </c>
    </row>
    <row r="2" spans="1:20" x14ac:dyDescent="0.25">
      <c r="A2" s="1" t="str">
        <f>IF(C2=1,D2,0)</f>
        <v>PG</v>
      </c>
      <c r="B2" s="1" t="str">
        <f>IF(C2=0,0,A2&amp;" "&amp;COUNTIF($A$1:$A2,A2))</f>
        <v>PG 1</v>
      </c>
      <c r="C2" s="1">
        <v>1</v>
      </c>
      <c r="D2" t="str">
        <f>Projections!C2</f>
        <v>PG</v>
      </c>
      <c r="E2" s="42" t="str">
        <f>Projections!A2</f>
        <v>Russell Westbrook</v>
      </c>
      <c r="F2">
        <f>Projections!D2</f>
        <v>59.24</v>
      </c>
      <c r="G2" s="35">
        <f>Projections!E2</f>
        <v>12500</v>
      </c>
      <c r="H2">
        <f>IF($D2=H$1,$C2*1,0)</f>
        <v>1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v>1</v>
      </c>
      <c r="N2" t="s">
        <v>3</v>
      </c>
      <c r="O2">
        <v>2</v>
      </c>
      <c r="P2">
        <f>SUM(H2:H339)</f>
        <v>2</v>
      </c>
      <c r="T2">
        <f>SUM(C:C)</f>
        <v>9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Projections!C3</f>
        <v>SG</v>
      </c>
      <c r="E3" s="42" t="str">
        <f>Projections!A3</f>
        <v>James Harden</v>
      </c>
      <c r="F3" s="2">
        <f>Projections!D3</f>
        <v>57.76</v>
      </c>
      <c r="G3" s="35">
        <f>Projections!E3</f>
        <v>12500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v>1</v>
      </c>
      <c r="N3" t="s">
        <v>8</v>
      </c>
      <c r="O3">
        <v>2</v>
      </c>
      <c r="P3">
        <f>SUM(I2:I339)</f>
        <v>2</v>
      </c>
    </row>
    <row r="4" spans="1:20" x14ac:dyDescent="0.25">
      <c r="A4" t="str">
        <f t="shared" si="1"/>
        <v>SF</v>
      </c>
      <c r="B4" t="str">
        <f>IF(C4=0,0,A4&amp;" "&amp;COUNTIF($A$1:$A4,A4))</f>
        <v>SF 1</v>
      </c>
      <c r="C4" s="1">
        <v>1</v>
      </c>
      <c r="D4" s="2" t="str">
        <f>Projections!C4</f>
        <v>SF</v>
      </c>
      <c r="E4" s="42" t="str">
        <f>Projections!A4</f>
        <v>LeBron James</v>
      </c>
      <c r="F4" s="2">
        <f>Projections!D4</f>
        <v>51.19</v>
      </c>
      <c r="G4" s="35">
        <f>Projections!E4</f>
        <v>11100</v>
      </c>
      <c r="H4">
        <f t="shared" si="2"/>
        <v>0</v>
      </c>
      <c r="I4">
        <f t="shared" si="2"/>
        <v>0</v>
      </c>
      <c r="J4">
        <f t="shared" si="2"/>
        <v>1</v>
      </c>
      <c r="K4">
        <f t="shared" si="2"/>
        <v>0</v>
      </c>
      <c r="L4">
        <f t="shared" si="2"/>
        <v>0</v>
      </c>
      <c r="M4" s="2">
        <v>1</v>
      </c>
      <c r="N4" t="s">
        <v>6</v>
      </c>
      <c r="O4">
        <v>2</v>
      </c>
      <c r="P4">
        <f>SUM(J2:J339)</f>
        <v>2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Projections!C5</f>
        <v>SG</v>
      </c>
      <c r="E5" s="42" t="str">
        <f>Projections!A5</f>
        <v>Giannis Antetokounmpo</v>
      </c>
      <c r="F5" s="2">
        <f>Projections!D5</f>
        <v>50.35</v>
      </c>
      <c r="G5" s="35">
        <f>Projections!E5</f>
        <v>11200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v>1</v>
      </c>
      <c r="N5" t="s">
        <v>5</v>
      </c>
      <c r="O5">
        <v>2</v>
      </c>
      <c r="P5">
        <f>SUM(K2:K339)</f>
        <v>2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Projections!C6</f>
        <v>SF</v>
      </c>
      <c r="E6" s="42" t="str">
        <f>Projections!A6</f>
        <v>Kevin Durant</v>
      </c>
      <c r="F6" s="2">
        <f>Projections!D6</f>
        <v>46.07</v>
      </c>
      <c r="G6" s="35">
        <f>Projections!E6</f>
        <v>10700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v>1</v>
      </c>
      <c r="N6" t="s">
        <v>7</v>
      </c>
      <c r="O6">
        <v>1</v>
      </c>
      <c r="P6">
        <f>SUM(L2:L339)</f>
        <v>1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Projections!C7</f>
        <v>PF</v>
      </c>
      <c r="E7" s="42" t="str">
        <f>Projections!A7</f>
        <v>Nikola Jokic</v>
      </c>
      <c r="F7" s="2">
        <f>Projections!D7</f>
        <v>45.48</v>
      </c>
      <c r="G7" s="35">
        <f>Projections!E7</f>
        <v>9900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Projections!C8</f>
        <v>PG</v>
      </c>
      <c r="E8" s="42" t="str">
        <f>Projections!A8</f>
        <v>Isaiah Thomas</v>
      </c>
      <c r="F8" s="2">
        <f>Projections!D8</f>
        <v>44.58</v>
      </c>
      <c r="G8" s="35">
        <f>Projections!E8</f>
        <v>9800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v>1</v>
      </c>
      <c r="N8" t="s">
        <v>17</v>
      </c>
      <c r="O8">
        <f>SUMPRODUCT(C2:C239,G2:G239)</f>
        <v>60000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Projections!C9</f>
        <v>PG</v>
      </c>
      <c r="E9" s="42" t="str">
        <f>Projections!A9</f>
        <v>Stephen Curry</v>
      </c>
      <c r="F9" s="2">
        <f>Projections!D9</f>
        <v>41.63</v>
      </c>
      <c r="G9" s="35">
        <f>Projections!E9</f>
        <v>9500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v>1</v>
      </c>
      <c r="N9" t="s">
        <v>18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Projections!C10</f>
        <v>PF</v>
      </c>
      <c r="E10" s="42" t="str">
        <f>Projections!A10</f>
        <v>Blake Griffin</v>
      </c>
      <c r="F10" s="2">
        <f>Projections!D10</f>
        <v>41.22</v>
      </c>
      <c r="G10" s="35">
        <f>Projections!E10</f>
        <v>9700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v>1</v>
      </c>
    </row>
    <row r="11" spans="1:20" x14ac:dyDescent="0.25">
      <c r="A11" t="str">
        <f t="shared" si="1"/>
        <v>PG</v>
      </c>
      <c r="B11" t="str">
        <f>IF(C11=0,0,A11&amp;" "&amp;COUNTIF($A$1:$A11,A11))</f>
        <v>PG 2</v>
      </c>
      <c r="C11" s="1">
        <v>1</v>
      </c>
      <c r="D11" s="2" t="str">
        <f>Projections!C11</f>
        <v>PG</v>
      </c>
      <c r="E11" s="42" t="str">
        <f>Projections!A11</f>
        <v>Kyrie Irving</v>
      </c>
      <c r="F11" s="2">
        <f>Projections!D11</f>
        <v>41.04</v>
      </c>
      <c r="G11" s="35">
        <f>Projections!E11</f>
        <v>8300</v>
      </c>
      <c r="H11">
        <f t="shared" si="2"/>
        <v>1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v>1</v>
      </c>
      <c r="N11" t="s">
        <v>19</v>
      </c>
      <c r="O11">
        <f>SUMPRODUCT(C2:C339,F2:F339)</f>
        <v>315.25000000000006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Projections!C12</f>
        <v>C</v>
      </c>
      <c r="E12" s="42" t="str">
        <f>Projections!A12</f>
        <v>Hassan Whiteside</v>
      </c>
      <c r="F12" s="2">
        <f>Projections!D12</f>
        <v>39.86</v>
      </c>
      <c r="G12" s="35">
        <f>Projections!E12</f>
        <v>9100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Projections!C13</f>
        <v>SF</v>
      </c>
      <c r="E13" s="42" t="str">
        <f>Projections!A13</f>
        <v>Paul George</v>
      </c>
      <c r="F13" s="2">
        <f>Projections!D13</f>
        <v>39.32</v>
      </c>
      <c r="G13" s="35">
        <f>Projections!E13</f>
        <v>8700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v>1</v>
      </c>
      <c r="N13" t="s">
        <v>20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Projections!C14</f>
        <v>PF</v>
      </c>
      <c r="E14" s="42" t="str">
        <f>Projections!A14</f>
        <v>Kevin Love</v>
      </c>
      <c r="F14" s="2">
        <f>Projections!D14</f>
        <v>37.08</v>
      </c>
      <c r="G14" s="35">
        <f>Projections!E14</f>
        <v>8200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v>1</v>
      </c>
      <c r="N14" t="s">
        <v>21</v>
      </c>
      <c r="O14">
        <f>SUM(C:C)</f>
        <v>9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Projections!C15</f>
        <v>PG</v>
      </c>
      <c r="E15" s="42" t="str">
        <f>Projections!A15</f>
        <v>Jeff Teague</v>
      </c>
      <c r="F15" s="2">
        <f>Projections!D15</f>
        <v>36.67</v>
      </c>
      <c r="G15" s="35">
        <f>Projections!E15</f>
        <v>7700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v>1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Projections!C16</f>
        <v>PG</v>
      </c>
      <c r="E16" s="42" t="str">
        <f>Projections!A16</f>
        <v>Kemba Walker</v>
      </c>
      <c r="F16" s="2">
        <f>Projections!D16</f>
        <v>36.54</v>
      </c>
      <c r="G16" s="35">
        <f>Projections!E16</f>
        <v>7300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v>1</v>
      </c>
      <c r="N16" t="s">
        <v>23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Projections!C17</f>
        <v>C</v>
      </c>
      <c r="E17" s="42" t="str">
        <f>Projections!A17</f>
        <v>Rudy Gobert</v>
      </c>
      <c r="F17" s="2">
        <f>Projections!D17</f>
        <v>35.31</v>
      </c>
      <c r="G17" s="35">
        <f>Projections!E17</f>
        <v>7800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v>1</v>
      </c>
      <c r="N17" t="s">
        <v>25</v>
      </c>
      <c r="O17" t="str">
        <f>VLOOKUP(N17,B2:F101,4,FALSE)</f>
        <v>Russell Westbrook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Projections!C18</f>
        <v>PG</v>
      </c>
      <c r="E18" s="42" t="str">
        <f>Projections!A18</f>
        <v>Goran Dragic</v>
      </c>
      <c r="F18" s="2">
        <f>Projections!D18</f>
        <v>35.11</v>
      </c>
      <c r="G18" s="35">
        <f>Projections!E18</f>
        <v>8100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v>1</v>
      </c>
      <c r="N18" t="s">
        <v>26</v>
      </c>
      <c r="O18" s="2" t="str">
        <f>VLOOKUP(N18,B2:F102,4,FALSE)</f>
        <v>Kyrie Irving</v>
      </c>
    </row>
    <row r="19" spans="1:15" x14ac:dyDescent="0.25">
      <c r="A19" t="str">
        <f t="shared" si="1"/>
        <v>SG</v>
      </c>
      <c r="B19" t="str">
        <f>IF(C19=0,0,A19&amp;" "&amp;COUNTIF($A$1:$A19,A19))</f>
        <v>SG 1</v>
      </c>
      <c r="C19" s="1">
        <v>1</v>
      </c>
      <c r="D19" s="2" t="str">
        <f>Projections!C19</f>
        <v>SG</v>
      </c>
      <c r="E19" s="42" t="str">
        <f>Projections!A19</f>
        <v>Devin Booker</v>
      </c>
      <c r="F19" s="2">
        <f>Projections!D19</f>
        <v>35.08</v>
      </c>
      <c r="G19" s="35">
        <f>Projections!E19</f>
        <v>6800</v>
      </c>
      <c r="H19">
        <f t="shared" si="2"/>
        <v>0</v>
      </c>
      <c r="I19">
        <f t="shared" si="2"/>
        <v>1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v>1</v>
      </c>
      <c r="N19" t="s">
        <v>27</v>
      </c>
      <c r="O19" s="2" t="str">
        <f>VLOOKUP(N19,B2:F103,4,FALSE)</f>
        <v>Devin Booker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Projections!C20</f>
        <v>C</v>
      </c>
      <c r="E20" s="42" t="str">
        <f>Projections!A20</f>
        <v>Steven Adams</v>
      </c>
      <c r="F20" s="2">
        <f>Projections!D20</f>
        <v>34.96</v>
      </c>
      <c r="G20" s="35">
        <f>Projections!E20</f>
        <v>6300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v>1</v>
      </c>
      <c r="N20" t="s">
        <v>28</v>
      </c>
      <c r="O20" s="2" t="str">
        <f>VLOOKUP(N20,B2:F104,4,FALSE)</f>
        <v>Brandon Knight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Projections!C21</f>
        <v>SF</v>
      </c>
      <c r="E21" s="42" t="str">
        <f>Projections!A21</f>
        <v>Gordon Hayward</v>
      </c>
      <c r="F21" s="2">
        <f>Projections!D21</f>
        <v>34.340000000000003</v>
      </c>
      <c r="G21" s="35">
        <f>Projections!E21</f>
        <v>8100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v>1</v>
      </c>
      <c r="N21" t="s">
        <v>29</v>
      </c>
      <c r="O21" s="2" t="str">
        <f>VLOOKUP(N21,B2:F105,4,FALSE)</f>
        <v>LeBron James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Projections!C22</f>
        <v>SG</v>
      </c>
      <c r="E22" s="42" t="str">
        <f>Projections!A22</f>
        <v>Nicolas Batum</v>
      </c>
      <c r="F22" s="2">
        <f>Projections!D22</f>
        <v>34.17</v>
      </c>
      <c r="G22" s="35">
        <f>Projections!E22</f>
        <v>7500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v>1</v>
      </c>
      <c r="N22" t="s">
        <v>30</v>
      </c>
      <c r="O22" s="2" t="str">
        <f>VLOOKUP(N22,B2:F106,4,FALSE)</f>
        <v>T.J. Warren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Projections!C23</f>
        <v>PF</v>
      </c>
      <c r="E23" s="42" t="str">
        <f>Projections!A23</f>
        <v>Draymond Green</v>
      </c>
      <c r="F23" s="2">
        <f>Projections!D23</f>
        <v>33.729999999999997</v>
      </c>
      <c r="G23" s="35">
        <f>Projections!E23</f>
        <v>8000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v>1</v>
      </c>
      <c r="N23" t="s">
        <v>31</v>
      </c>
      <c r="O23" s="2" t="str">
        <f>VLOOKUP(N23,B2:F107,4,FALSE)</f>
        <v>Serge Ibaka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Projections!C24</f>
        <v>C</v>
      </c>
      <c r="E24" s="42" t="str">
        <f>Projections!A24</f>
        <v>Myles Turner</v>
      </c>
      <c r="F24" s="2">
        <f>Projections!D24</f>
        <v>33.67</v>
      </c>
      <c r="G24" s="35">
        <f>Projections!E24</f>
        <v>6400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v>1</v>
      </c>
      <c r="N24" t="s">
        <v>32</v>
      </c>
      <c r="O24" s="2" t="str">
        <f>VLOOKUP(N24,B2:F108,4,FALSE)</f>
        <v>Alex Len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Projections!C25</f>
        <v>C</v>
      </c>
      <c r="E25" s="42" t="str">
        <f>Projections!A25</f>
        <v>DeAndre Jordan</v>
      </c>
      <c r="F25" s="2">
        <f>Projections!D25</f>
        <v>33.57</v>
      </c>
      <c r="G25" s="35">
        <f>Projections!E25</f>
        <v>7700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v>1</v>
      </c>
      <c r="N25" t="s">
        <v>287</v>
      </c>
      <c r="O25" s="2" t="str">
        <f>VLOOKUP(N25,B3:F109,4,FALSE)</f>
        <v>Alan Williams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Projections!C26</f>
        <v>SF</v>
      </c>
      <c r="E26" s="42" t="str">
        <f>Projections!A26</f>
        <v>Wilson Chandler</v>
      </c>
      <c r="F26" s="2">
        <f>Projections!D26</f>
        <v>31.63</v>
      </c>
      <c r="G26" s="35">
        <f>Projections!E26</f>
        <v>6700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v>1</v>
      </c>
    </row>
    <row r="27" spans="1:15" x14ac:dyDescent="0.25">
      <c r="A27" t="str">
        <f t="shared" si="1"/>
        <v>PF</v>
      </c>
      <c r="B27" t="str">
        <f>IF(C27=0,0,A27&amp;" "&amp;COUNTIF($A$1:$A27,A27))</f>
        <v>PF 1</v>
      </c>
      <c r="C27" s="1">
        <v>1</v>
      </c>
      <c r="D27" s="2" t="str">
        <f>Projections!C27</f>
        <v>PF</v>
      </c>
      <c r="E27" s="42" t="str">
        <f>Projections!A27</f>
        <v>Serge Ibaka</v>
      </c>
      <c r="F27" s="2">
        <f>Projections!D27</f>
        <v>31.41</v>
      </c>
      <c r="G27" s="35">
        <f>Projections!E27</f>
        <v>6000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1</v>
      </c>
      <c r="L27">
        <f t="shared" si="2"/>
        <v>0</v>
      </c>
      <c r="M27" s="2">
        <v>1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Projections!C28</f>
        <v>C</v>
      </c>
      <c r="E28" s="42" t="str">
        <f>Projections!A28</f>
        <v>Nikola Vucevic</v>
      </c>
      <c r="F28" s="2">
        <f>Projections!D28</f>
        <v>31.31</v>
      </c>
      <c r="G28" s="35">
        <f>Projections!E28</f>
        <v>7300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Projections!C29</f>
        <v>SF</v>
      </c>
      <c r="E29" s="42" t="str">
        <f>Projections!A29</f>
        <v>Harrison Barnes</v>
      </c>
      <c r="F29" s="2">
        <f>Projections!D29</f>
        <v>30.9</v>
      </c>
      <c r="G29" s="35">
        <f>Projections!E29</f>
        <v>6500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Projections!C30</f>
        <v>SG</v>
      </c>
      <c r="E30" s="42" t="str">
        <f>Projections!A30</f>
        <v>Victor Oladipo</v>
      </c>
      <c r="F30" s="2">
        <f>Projections!D30</f>
        <v>30.88</v>
      </c>
      <c r="G30" s="35">
        <f>Projections!E30</f>
        <v>6400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Projections!C31</f>
        <v>C</v>
      </c>
      <c r="E31" s="42" t="str">
        <f>Projections!A31</f>
        <v>Al Horford</v>
      </c>
      <c r="F31" s="2">
        <f>Projections!D31</f>
        <v>30.51</v>
      </c>
      <c r="G31" s="35">
        <f>Projections!E31</f>
        <v>7100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Projections!C32</f>
        <v>SG</v>
      </c>
      <c r="E32" s="42" t="str">
        <f>Projections!A32</f>
        <v>Will Barton</v>
      </c>
      <c r="F32" s="2">
        <f>Projections!D32</f>
        <v>30.2</v>
      </c>
      <c r="G32" s="35">
        <f>Projections!E32</f>
        <v>6200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Projections!C33</f>
        <v>PG</v>
      </c>
      <c r="E33" s="42" t="str">
        <f>Projections!A33</f>
        <v>George Hill</v>
      </c>
      <c r="F33" s="2">
        <f>Projections!D33</f>
        <v>29.96</v>
      </c>
      <c r="G33" s="35">
        <f>Projections!E33</f>
        <v>6100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Projections!C34</f>
        <v>SF</v>
      </c>
      <c r="E34" s="42" t="str">
        <f>Projections!A34</f>
        <v>Robert Covington</v>
      </c>
      <c r="F34" s="2">
        <f>Projections!D34</f>
        <v>29.57</v>
      </c>
      <c r="G34" s="35">
        <f>Projections!E34</f>
        <v>6300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v>1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Projections!C35</f>
        <v>C</v>
      </c>
      <c r="E35" s="42" t="str">
        <f>Projections!A35</f>
        <v>Clint Capela</v>
      </c>
      <c r="F35" s="2">
        <f>Projections!D35</f>
        <v>29.54</v>
      </c>
      <c r="G35" s="35">
        <f>Projections!E35</f>
        <v>5300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v>1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Projections!C36</f>
        <v>SG</v>
      </c>
      <c r="E36" s="42" t="str">
        <f>Projections!A36</f>
        <v>Klay Thompson</v>
      </c>
      <c r="F36" s="2">
        <f>Projections!D36</f>
        <v>29.47</v>
      </c>
      <c r="G36" s="35">
        <f>Projections!E36</f>
        <v>6800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Projections!C37</f>
        <v>SF</v>
      </c>
      <c r="E37" s="42" t="str">
        <f>Projections!A37</f>
        <v>Trevor Ariza</v>
      </c>
      <c r="F37" s="2">
        <f>Projections!D37</f>
        <v>28.65</v>
      </c>
      <c r="G37" s="35">
        <f>Projections!E37</f>
        <v>5500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Projections!C38</f>
        <v>SG</v>
      </c>
      <c r="E38" s="42" t="str">
        <f>Projections!A38</f>
        <v>Evan Fournier</v>
      </c>
      <c r="F38" s="2">
        <f>Projections!D38</f>
        <v>28.23</v>
      </c>
      <c r="G38" s="35">
        <f>Projections!E38</f>
        <v>5500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v>1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Projections!C39</f>
        <v>SG</v>
      </c>
      <c r="E39" s="42" t="str">
        <f>Projections!A39</f>
        <v>Gary Harris</v>
      </c>
      <c r="F39" s="2">
        <f>Projections!D39</f>
        <v>28.03</v>
      </c>
      <c r="G39" s="35">
        <f>Projections!E39</f>
        <v>5100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v>1</v>
      </c>
    </row>
    <row r="40" spans="1:13" x14ac:dyDescent="0.25">
      <c r="A40" t="str">
        <f t="shared" si="1"/>
        <v>SF</v>
      </c>
      <c r="B40" t="str">
        <f>IF(C40=0,0,A40&amp;" "&amp;COUNTIF($A$1:$A40,A40))</f>
        <v>SF 2</v>
      </c>
      <c r="C40" s="1">
        <v>1</v>
      </c>
      <c r="D40" s="2" t="str">
        <f>Projections!C40</f>
        <v>SF</v>
      </c>
      <c r="E40" s="42" t="str">
        <f>Projections!A40</f>
        <v>T.J. Warren</v>
      </c>
      <c r="F40" s="2">
        <f>Projections!D40</f>
        <v>26.94</v>
      </c>
      <c r="G40" s="35">
        <f>Projections!E40</f>
        <v>4500</v>
      </c>
      <c r="H40">
        <f t="shared" si="2"/>
        <v>0</v>
      </c>
      <c r="I40">
        <f t="shared" si="2"/>
        <v>0</v>
      </c>
      <c r="J40">
        <f t="shared" si="2"/>
        <v>1</v>
      </c>
      <c r="K40">
        <f t="shared" si="2"/>
        <v>0</v>
      </c>
      <c r="L40">
        <f t="shared" si="2"/>
        <v>0</v>
      </c>
      <c r="M40" s="2">
        <v>1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Projections!C41</f>
        <v>PF</v>
      </c>
      <c r="E41" s="42" t="str">
        <f>Projections!A41</f>
        <v>Marvin Williams</v>
      </c>
      <c r="F41" s="2">
        <f>Projections!D41</f>
        <v>26.44</v>
      </c>
      <c r="G41" s="35">
        <f>Projections!E41</f>
        <v>5400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Projections!C42</f>
        <v>PF</v>
      </c>
      <c r="E42" s="42" t="str">
        <f>Projections!A42</f>
        <v>James Johnson</v>
      </c>
      <c r="F42" s="2">
        <f>Projections!D42</f>
        <v>26.2</v>
      </c>
      <c r="G42" s="35">
        <f>Projections!E42</f>
        <v>6000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Projections!C43</f>
        <v>PG</v>
      </c>
      <c r="E43" s="42" t="str">
        <f>Projections!A43</f>
        <v>Austin Rivers</v>
      </c>
      <c r="F43" s="2">
        <f>Projections!D43</f>
        <v>26.04</v>
      </c>
      <c r="G43" s="35">
        <f>Projections!E43</f>
        <v>5700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v>1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Projections!C44</f>
        <v>PF</v>
      </c>
      <c r="E44" s="42" t="str">
        <f>Projections!A44</f>
        <v>Dirk Nowitzki</v>
      </c>
      <c r="F44" s="2">
        <f>Projections!D44</f>
        <v>25.79</v>
      </c>
      <c r="G44" s="35">
        <f>Projections!E44</f>
        <v>5700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Projections!C45</f>
        <v>PG</v>
      </c>
      <c r="E45" s="42" t="str">
        <f>Projections!A45</f>
        <v>Deron Williams</v>
      </c>
      <c r="F45" s="2">
        <f>Projections!D45</f>
        <v>25.78</v>
      </c>
      <c r="G45" s="35">
        <f>Projections!E45</f>
        <v>6200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Projections!C46</f>
        <v>PF</v>
      </c>
      <c r="E46" s="42" t="str">
        <f>Projections!A46</f>
        <v>Nerlens Noel</v>
      </c>
      <c r="F46" s="2">
        <f>Projections!D46</f>
        <v>25.76</v>
      </c>
      <c r="G46" s="35">
        <f>Projections!E46</f>
        <v>5200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Projections!C47</f>
        <v>SG</v>
      </c>
      <c r="E47" s="42" t="str">
        <f>Projections!A47</f>
        <v>Eric Gordon</v>
      </c>
      <c r="F47" s="2">
        <f>Projections!D47</f>
        <v>25.71</v>
      </c>
      <c r="G47" s="35">
        <f>Projections!E47</f>
        <v>5500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Projections!C48</f>
        <v>SG</v>
      </c>
      <c r="E48" s="42" t="str">
        <f>Projections!A48</f>
        <v>Wesley Matthews</v>
      </c>
      <c r="F48" s="2">
        <f>Projections!D48</f>
        <v>25.67</v>
      </c>
      <c r="G48" s="35">
        <f>Projections!E48</f>
        <v>5800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Projections!C49</f>
        <v>PF</v>
      </c>
      <c r="E49" s="42" t="str">
        <f>Projections!A49</f>
        <v>Ersan Ilyasova</v>
      </c>
      <c r="F49" s="2">
        <f>Projections!D49</f>
        <v>25.42</v>
      </c>
      <c r="G49" s="35">
        <f>Projections!E49</f>
        <v>5600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Projections!C50</f>
        <v>PG</v>
      </c>
      <c r="E50" s="42" t="str">
        <f>Projections!A50</f>
        <v>Tyler Johnson</v>
      </c>
      <c r="F50" s="2">
        <f>Projections!D50</f>
        <v>25.33</v>
      </c>
      <c r="G50" s="35">
        <f>Projections!E50</f>
        <v>5600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Projections!C51</f>
        <v>C</v>
      </c>
      <c r="E51" s="42" t="str">
        <f>Projections!A51</f>
        <v>Cody Zeller</v>
      </c>
      <c r="F51" s="2">
        <f>Projections!D51</f>
        <v>25.27</v>
      </c>
      <c r="G51" s="35">
        <f>Projections!E51</f>
        <v>5200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v>1</v>
      </c>
    </row>
    <row r="52" spans="1:13" x14ac:dyDescent="0.25">
      <c r="A52" t="str">
        <f t="shared" si="1"/>
        <v>SG</v>
      </c>
      <c r="B52" t="str">
        <f>IF(C52=0,0,A52&amp;" "&amp;COUNTIF($A$1:$A52,A52))</f>
        <v>SG 2</v>
      </c>
      <c r="C52" s="1">
        <v>1</v>
      </c>
      <c r="D52" s="2" t="str">
        <f>Projections!C52</f>
        <v>SG</v>
      </c>
      <c r="E52" s="42" t="str">
        <f>Projections!A52</f>
        <v>Brandon Knight</v>
      </c>
      <c r="F52" s="2">
        <f>Projections!D52</f>
        <v>24.82</v>
      </c>
      <c r="G52" s="35">
        <f>Projections!E52</f>
        <v>3700</v>
      </c>
      <c r="H52">
        <f t="shared" si="2"/>
        <v>0</v>
      </c>
      <c r="I52">
        <f t="shared" si="3"/>
        <v>1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Projections!C53</f>
        <v>C</v>
      </c>
      <c r="E53" s="42" t="str">
        <f>Projections!A53</f>
        <v>Tristan Thompson</v>
      </c>
      <c r="F53" s="2">
        <f>Projections!D53</f>
        <v>24.79</v>
      </c>
      <c r="G53" s="35">
        <f>Projections!E53</f>
        <v>5400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v>1</v>
      </c>
    </row>
    <row r="54" spans="1:13" x14ac:dyDescent="0.25">
      <c r="A54" t="str">
        <f t="shared" si="1"/>
        <v>PF</v>
      </c>
      <c r="B54" t="str">
        <f>IF(C54=0,0,A54&amp;" "&amp;COUNTIF($A$1:$A54,A54))</f>
        <v>PF 2</v>
      </c>
      <c r="C54" s="1">
        <v>1</v>
      </c>
      <c r="D54" s="2" t="str">
        <f>Projections!C54</f>
        <v>PF</v>
      </c>
      <c r="E54" s="42" t="str">
        <f>Projections!A54</f>
        <v>Alex Len</v>
      </c>
      <c r="F54" s="2">
        <f>Projections!D54</f>
        <v>24.79</v>
      </c>
      <c r="G54" s="35">
        <f>Projections!E54</f>
        <v>3600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1</v>
      </c>
      <c r="L54">
        <f t="shared" si="3"/>
        <v>0</v>
      </c>
      <c r="M54" s="2">
        <v>1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Projections!C55</f>
        <v>SF</v>
      </c>
      <c r="E55" s="42" t="str">
        <f>Projections!A55</f>
        <v>P.J. Tucker</v>
      </c>
      <c r="F55" s="2">
        <f>Projections!D55</f>
        <v>24.5</v>
      </c>
      <c r="G55" s="35">
        <f>Projections!E55</f>
        <v>4700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Projections!C56</f>
        <v>PG</v>
      </c>
      <c r="E56" s="42" t="str">
        <f>Projections!A56</f>
        <v>Jameer Nelson</v>
      </c>
      <c r="F56" s="2">
        <f>Projections!D56</f>
        <v>24.45</v>
      </c>
      <c r="G56" s="35">
        <f>Projections!E56</f>
        <v>4400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Projections!C57</f>
        <v>PG</v>
      </c>
      <c r="E57" s="42" t="str">
        <f>Projections!A57</f>
        <v>T.J. McConnell</v>
      </c>
      <c r="F57" s="2">
        <f>Projections!D57</f>
        <v>23.82</v>
      </c>
      <c r="G57" s="35">
        <f>Projections!E57</f>
        <v>5400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Projections!C58</f>
        <v>PG</v>
      </c>
      <c r="E58" s="42" t="str">
        <f>Projections!A58</f>
        <v>Elfrid Payton</v>
      </c>
      <c r="F58" s="2">
        <f>Projections!D58</f>
        <v>23.8</v>
      </c>
      <c r="G58" s="35">
        <f>Projections!E58</f>
        <v>5900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Projections!C59</f>
        <v>C</v>
      </c>
      <c r="E59" s="42" t="str">
        <f>Projections!A59</f>
        <v>Greg Monroe</v>
      </c>
      <c r="F59" s="2">
        <f>Projections!D59</f>
        <v>23.78</v>
      </c>
      <c r="G59" s="35">
        <f>Projections!E59</f>
        <v>5800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Projections!C60</f>
        <v>PG</v>
      </c>
      <c r="E60" s="42" t="str">
        <f>Projections!A60</f>
        <v>Patrick Beverley</v>
      </c>
      <c r="F60" s="2">
        <f>Projections!D60</f>
        <v>23.69</v>
      </c>
      <c r="G60" s="35">
        <f>Projections!E60</f>
        <v>5400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Projections!C61</f>
        <v>C</v>
      </c>
      <c r="E61" s="42" t="str">
        <f>Projections!A61</f>
        <v>Jahlil Okafor</v>
      </c>
      <c r="F61" s="2">
        <f>Projections!D61</f>
        <v>23.68</v>
      </c>
      <c r="G61" s="35">
        <f>Projections!E61</f>
        <v>4600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Projections!C62</f>
        <v>SG</v>
      </c>
      <c r="E62" s="42" t="str">
        <f>Projections!A62</f>
        <v>Dion Waiters</v>
      </c>
      <c r="F62" s="2">
        <f>Projections!D62</f>
        <v>23.61</v>
      </c>
      <c r="G62" s="35">
        <f>Projections!E62</f>
        <v>7100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 t="str">
        <f>Projections!C63</f>
        <v>SF</v>
      </c>
      <c r="E63" s="42" t="str">
        <f>Projections!A63</f>
        <v>Michael Kidd-Gilchrist</v>
      </c>
      <c r="F63" s="2">
        <f>Projections!D63</f>
        <v>23.11</v>
      </c>
      <c r="G63" s="35">
        <f>Projections!E63</f>
        <v>5600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 t="str">
        <f>Projections!C64</f>
        <v>PF</v>
      </c>
      <c r="E64" s="42" t="str">
        <f>Projections!A64</f>
        <v>Ryan Anderson</v>
      </c>
      <c r="F64" s="2">
        <f>Projections!D64</f>
        <v>22.91</v>
      </c>
      <c r="G64" s="35">
        <f>Projections!E64</f>
        <v>4700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 t="str">
        <f>Projections!C65</f>
        <v>SG</v>
      </c>
      <c r="E65" s="42" t="str">
        <f>Projections!A65</f>
        <v>Marcus Smart</v>
      </c>
      <c r="F65" s="2">
        <f>Projections!D65</f>
        <v>22.61</v>
      </c>
      <c r="G65" s="35">
        <f>Projections!E65</f>
        <v>5700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 t="str">
        <f>Projections!C66</f>
        <v>SG</v>
      </c>
      <c r="E66" s="42" t="str">
        <f>Projections!A66</f>
        <v>J.J. Redick</v>
      </c>
      <c r="F66" s="2">
        <f>Projections!D66</f>
        <v>22.46</v>
      </c>
      <c r="G66" s="35">
        <f>Projections!E66</f>
        <v>4700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 t="str">
        <f>Projections!C67</f>
        <v>PF</v>
      </c>
      <c r="E67" s="42" t="str">
        <f>Projections!A67</f>
        <v>Derrick Favors</v>
      </c>
      <c r="F67" s="2">
        <f>Projections!D67</f>
        <v>22.38</v>
      </c>
      <c r="G67" s="35">
        <f>Projections!E67</f>
        <v>5000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 t="str">
        <f>Projections!C68</f>
        <v>PF</v>
      </c>
      <c r="E68" s="42" t="str">
        <f>Projections!A68</f>
        <v>Dario Saric</v>
      </c>
      <c r="F68" s="2">
        <f>Projections!D68</f>
        <v>21.8</v>
      </c>
      <c r="G68" s="35">
        <f>Projections!E68</f>
        <v>4800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 t="str">
        <f>Projections!C69</f>
        <v>SF</v>
      </c>
      <c r="E69" s="42" t="str">
        <f>Projections!A69</f>
        <v>Andre Roberson</v>
      </c>
      <c r="F69" s="2">
        <f>Projections!D69</f>
        <v>21.76</v>
      </c>
      <c r="G69" s="35">
        <f>Projections!E69</f>
        <v>4200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 t="str">
        <f>Projections!C70</f>
        <v>PG</v>
      </c>
      <c r="E70" s="42" t="str">
        <f>Projections!A70</f>
        <v>Malcolm Brogdon</v>
      </c>
      <c r="F70" s="2">
        <f>Projections!D70</f>
        <v>21.27</v>
      </c>
      <c r="G70" s="35">
        <f>Projections!E70</f>
        <v>5100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v>1</v>
      </c>
    </row>
    <row r="71" spans="1:13" x14ac:dyDescent="0.25">
      <c r="A71" t="str">
        <f t="shared" si="5"/>
        <v>C</v>
      </c>
      <c r="B71" t="str">
        <f>IF(C71=0,0,A71&amp;" "&amp;COUNTIF($A$1:$A71,A71))</f>
        <v>C 1</v>
      </c>
      <c r="C71" s="1">
        <v>1</v>
      </c>
      <c r="D71" s="2" t="str">
        <f>Projections!C71</f>
        <v>C</v>
      </c>
      <c r="E71" s="42" t="str">
        <f>Projections!A71</f>
        <v>Alan Williams</v>
      </c>
      <c r="F71" s="2">
        <f>Projections!D71</f>
        <v>20.74</v>
      </c>
      <c r="G71" s="35">
        <f>Projections!E71</f>
        <v>3500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1</v>
      </c>
      <c r="M71" s="2"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 t="str">
        <f>Projections!C72</f>
        <v>PF</v>
      </c>
      <c r="E72" s="42" t="str">
        <f>Projections!A72</f>
        <v>Marreese Speights</v>
      </c>
      <c r="F72" s="2">
        <f>Projections!D72</f>
        <v>20.67</v>
      </c>
      <c r="G72" s="35">
        <f>Projections!E72</f>
        <v>3800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 t="str">
        <f>Projections!C73</f>
        <v>SG</v>
      </c>
      <c r="E73" s="42" t="str">
        <f>Projections!A73</f>
        <v>Jamal Crawford</v>
      </c>
      <c r="F73" s="2">
        <f>Projections!D73</f>
        <v>20.14</v>
      </c>
      <c r="G73" s="35">
        <f>Projections!E73</f>
        <v>5100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 t="str">
        <f>Projections!C74</f>
        <v>PG</v>
      </c>
      <c r="E74" s="42" t="str">
        <f>Projections!A74</f>
        <v>Raymond Felton</v>
      </c>
      <c r="F74" s="2">
        <f>Projections!D74</f>
        <v>20.14</v>
      </c>
      <c r="G74" s="35">
        <f>Projections!E74</f>
        <v>4600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 t="str">
        <f>Projections!C75</f>
        <v>SF</v>
      </c>
      <c r="E75" s="42" t="str">
        <f>Projections!A75</f>
        <v>C.J. Miles</v>
      </c>
      <c r="F75" s="2">
        <f>Projections!D75</f>
        <v>20.05</v>
      </c>
      <c r="G75" s="35">
        <f>Projections!E75</f>
        <v>4200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 t="str">
        <f>Projections!C76</f>
        <v>SG</v>
      </c>
      <c r="E76" s="42" t="str">
        <f>Projections!A76</f>
        <v>Seth Curry</v>
      </c>
      <c r="F76" s="2">
        <f>Projections!D76</f>
        <v>19.95</v>
      </c>
      <c r="G76" s="35">
        <f>Projections!E76</f>
        <v>5500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 t="str">
        <f>Projections!C77</f>
        <v>PF</v>
      </c>
      <c r="E77" s="42" t="str">
        <f>Projections!A77</f>
        <v>Marquese Chriss</v>
      </c>
      <c r="F77" s="2">
        <f>Projections!D77</f>
        <v>19.87</v>
      </c>
      <c r="G77" s="35">
        <f>Projections!E77</f>
        <v>3900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 t="str">
        <f>Projections!C78</f>
        <v>SG</v>
      </c>
      <c r="E78" s="42" t="str">
        <f>Projections!A78</f>
        <v>Kyle Korver</v>
      </c>
      <c r="F78" s="2">
        <f>Projections!D78</f>
        <v>19.63</v>
      </c>
      <c r="G78" s="35">
        <f>Projections!E78</f>
        <v>3900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 t="str">
        <f>Projections!C79</f>
        <v>C</v>
      </c>
      <c r="E79" s="42" t="str">
        <f>Projections!A79</f>
        <v>JaVale McGee</v>
      </c>
      <c r="F79" s="2">
        <f>Projections!D79</f>
        <v>19.38</v>
      </c>
      <c r="G79" s="35">
        <f>Projections!E79</f>
        <v>3600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v>1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 t="str">
        <f>Projections!C80</f>
        <v>SF</v>
      </c>
      <c r="E80" s="42" t="str">
        <f>Projections!A80</f>
        <v>Michael Beasley</v>
      </c>
      <c r="F80" s="2">
        <f>Projections!D80</f>
        <v>19.010000000000002</v>
      </c>
      <c r="G80" s="35">
        <f>Projections!E80</f>
        <v>4400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 t="str">
        <f>Projections!C81</f>
        <v>PF</v>
      </c>
      <c r="E81" s="42" t="str">
        <f>Projections!A81</f>
        <v>Amir Johnson</v>
      </c>
      <c r="F81" s="2">
        <f>Projections!D81</f>
        <v>18.84</v>
      </c>
      <c r="G81" s="35">
        <f>Projections!E81</f>
        <v>3700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 t="str">
        <f>Projections!C82</f>
        <v>SF</v>
      </c>
      <c r="E82" s="42" t="str">
        <f>Projections!A82</f>
        <v>Jaylen Brown</v>
      </c>
      <c r="F82" s="2">
        <f>Projections!D82</f>
        <v>18.739999999999998</v>
      </c>
      <c r="G82" s="35">
        <f>Projections!E82</f>
        <v>3800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 t="str">
        <f>Projections!C83</f>
        <v>SF</v>
      </c>
      <c r="E83" s="42" t="str">
        <f>Projections!A83</f>
        <v>Andre Iguodala</v>
      </c>
      <c r="F83" s="2">
        <f>Projections!D83</f>
        <v>18.66</v>
      </c>
      <c r="G83" s="35">
        <f>Projections!E83</f>
        <v>4200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 t="str">
        <f>Projections!C84</f>
        <v>SG</v>
      </c>
      <c r="E84" s="42" t="str">
        <f>Projections!A84</f>
        <v>Iman Shumpert</v>
      </c>
      <c r="F84" s="2">
        <f>Projections!D84</f>
        <v>18.48</v>
      </c>
      <c r="G84" s="35">
        <f>Projections!E84</f>
        <v>3900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 t="str">
        <f>Projections!C85</f>
        <v>PF</v>
      </c>
      <c r="E85" s="42" t="str">
        <f>Projections!A85</f>
        <v>Darrell Arthur</v>
      </c>
      <c r="F85" s="2">
        <f>Projections!D85</f>
        <v>18.43</v>
      </c>
      <c r="G85" s="35">
        <f>Projections!E85</f>
        <v>4300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 t="str">
        <f>Projections!C86</f>
        <v>PF</v>
      </c>
      <c r="E86" s="42" t="str">
        <f>Projections!A86</f>
        <v>Frank Kaminsky</v>
      </c>
      <c r="F86" s="2">
        <f>Projections!D86</f>
        <v>18.43</v>
      </c>
      <c r="G86" s="35">
        <f>Projections!E86</f>
        <v>4800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 t="str">
        <f>Projections!C87</f>
        <v>SG</v>
      </c>
      <c r="E87" s="42" t="str">
        <f>Projections!A87</f>
        <v>Alec Burks</v>
      </c>
      <c r="F87" s="2">
        <f>Projections!D87</f>
        <v>18.190000000000001</v>
      </c>
      <c r="G87" s="35">
        <f>Projections!E87</f>
        <v>3600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 t="str">
        <f>Projections!C88</f>
        <v>PF</v>
      </c>
      <c r="E88" s="42" t="str">
        <f>Projections!A88</f>
        <v>Domantas Sabonis</v>
      </c>
      <c r="F88" s="2">
        <f>Projections!D88</f>
        <v>18.07</v>
      </c>
      <c r="G88" s="35">
        <f>Projections!E88</f>
        <v>3500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 t="str">
        <f>Projections!C89</f>
        <v>C</v>
      </c>
      <c r="E89" s="42" t="str">
        <f>Projections!A89</f>
        <v>Joffrey Lauvergne</v>
      </c>
      <c r="F89" s="2">
        <f>Projections!D89</f>
        <v>17.440000000000001</v>
      </c>
      <c r="G89" s="35">
        <f>Projections!E89</f>
        <v>3500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 t="str">
        <f>Projections!C90</f>
        <v>SF</v>
      </c>
      <c r="E90" s="42" t="str">
        <f>Projections!A90</f>
        <v>Joe Ingles</v>
      </c>
      <c r="F90" s="2">
        <f>Projections!D90</f>
        <v>17.43</v>
      </c>
      <c r="G90" s="35">
        <f>Projections!E90</f>
        <v>3800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 t="str">
        <f>Projections!C91</f>
        <v>C</v>
      </c>
      <c r="E91" s="42" t="str">
        <f>Projections!A91</f>
        <v>Nene Hilario</v>
      </c>
      <c r="F91" s="2">
        <f>Projections!D91</f>
        <v>17.190000000000001</v>
      </c>
      <c r="G91" s="35">
        <f>Projections!E91</f>
        <v>4400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 t="str">
        <f>Projections!C92</f>
        <v>PG</v>
      </c>
      <c r="E92" s="42" t="str">
        <f>Projections!A92</f>
        <v>Matthew Dellavedova</v>
      </c>
      <c r="F92" s="2">
        <f>Projections!D92</f>
        <v>17.170000000000002</v>
      </c>
      <c r="G92" s="35">
        <f>Projections!E92</f>
        <v>4200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 t="str">
        <f>Projections!C93</f>
        <v>C</v>
      </c>
      <c r="E93" s="42" t="str">
        <f>Projections!A93</f>
        <v>John Henson</v>
      </c>
      <c r="F93" s="2">
        <f>Projections!D93</f>
        <v>16.75</v>
      </c>
      <c r="G93" s="35">
        <f>Projections!E93</f>
        <v>3900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 t="str">
        <f>Projections!C94</f>
        <v>SF</v>
      </c>
      <c r="E94" s="42" t="str">
        <f>Projections!A94</f>
        <v>Rodney McGruder</v>
      </c>
      <c r="F94" s="2">
        <f>Projections!D94</f>
        <v>16.68</v>
      </c>
      <c r="G94" s="35">
        <f>Projections!E94</f>
        <v>3800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v>1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 t="str">
        <f>Projections!C95</f>
        <v>C</v>
      </c>
      <c r="E95" s="42" t="str">
        <f>Projections!A95</f>
        <v>Kelly Olynyk</v>
      </c>
      <c r="F95" s="2">
        <f>Projections!D95</f>
        <v>16.55</v>
      </c>
      <c r="G95" s="35">
        <f>Projections!E95</f>
        <v>4200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 t="str">
        <f>Projections!C96</f>
        <v>PG</v>
      </c>
      <c r="E96" s="42" t="str">
        <f>Projections!A96</f>
        <v>Jamal Murray</v>
      </c>
      <c r="F96" s="2">
        <f>Projections!D96</f>
        <v>16.420000000000002</v>
      </c>
      <c r="G96" s="35">
        <f>Projections!E96</f>
        <v>4000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 t="str">
        <f>Projections!C97</f>
        <v>SF</v>
      </c>
      <c r="E97" s="42" t="str">
        <f>Projections!A97</f>
        <v>Marco Belinelli</v>
      </c>
      <c r="F97" s="2">
        <f>Projections!D97</f>
        <v>16.420000000000002</v>
      </c>
      <c r="G97" s="35">
        <f>Projections!E97</f>
        <v>4000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 t="str">
        <f>Projections!C98</f>
        <v>SG</v>
      </c>
      <c r="E98" s="42" t="str">
        <f>Projections!A98</f>
        <v>C.J. Watson</v>
      </c>
      <c r="F98" s="2">
        <f>Projections!D98</f>
        <v>16.38</v>
      </c>
      <c r="G98" s="35">
        <f>Projections!E98</f>
        <v>4100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 t="str">
        <f>Projections!C99</f>
        <v>PF</v>
      </c>
      <c r="E99" s="42" t="str">
        <f>Projections!A99</f>
        <v>Lavoy Allen</v>
      </c>
      <c r="F99" s="2">
        <f>Projections!D99</f>
        <v>16.23</v>
      </c>
      <c r="G99" s="35">
        <f>Projections!E99</f>
        <v>3800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 t="str">
        <f>Projections!C100</f>
        <v>SG</v>
      </c>
      <c r="E100" s="42" t="str">
        <f>Projections!A100</f>
        <v>Monta Ellis</v>
      </c>
      <c r="F100" s="2">
        <f>Projections!D100</f>
        <v>16.149999999999999</v>
      </c>
      <c r="G100" s="35">
        <f>Projections!E100</f>
        <v>3600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v>1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 t="str">
        <f>Projections!C101</f>
        <v>C</v>
      </c>
      <c r="E101" s="42" t="str">
        <f>Projections!A101</f>
        <v>Bismack Biyombo</v>
      </c>
      <c r="F101" s="2">
        <f>Projections!D101</f>
        <v>15.77</v>
      </c>
      <c r="G101" s="35">
        <f>Projections!E101</f>
        <v>3600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v>1</v>
      </c>
    </row>
    <row r="102" spans="1:13" x14ac:dyDescent="0.25">
      <c r="C102" s="1">
        <v>0</v>
      </c>
      <c r="E102" s="42" t="str">
        <f>Projections!A102</f>
        <v>Sam Dekker</v>
      </c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07"/>
  <sheetViews>
    <sheetView workbookViewId="0">
      <selection activeCell="H7" sqref="H7"/>
    </sheetView>
  </sheetViews>
  <sheetFormatPr defaultRowHeight="15" x14ac:dyDescent="0.25"/>
  <cols>
    <col min="1" max="3" width="9.140625" style="2"/>
    <col min="4" max="4" width="16.7109375" style="2" bestFit="1" customWidth="1"/>
    <col min="5" max="5" width="17.7109375" style="2" bestFit="1" customWidth="1"/>
    <col min="6" max="16384" width="9.140625" style="2"/>
  </cols>
  <sheetData>
    <row r="1" spans="1:13" x14ac:dyDescent="0.25">
      <c r="A1" s="2" t="s">
        <v>33</v>
      </c>
      <c r="B1" s="2" t="s">
        <v>0</v>
      </c>
      <c r="C1" s="2" t="s">
        <v>34</v>
      </c>
      <c r="D1" s="2" t="s">
        <v>35</v>
      </c>
      <c r="E1" s="2" t="s">
        <v>776</v>
      </c>
      <c r="F1" s="2" t="s">
        <v>36</v>
      </c>
      <c r="G1" s="2" t="s">
        <v>37</v>
      </c>
      <c r="H1" s="2" t="s">
        <v>38</v>
      </c>
      <c r="I1" s="2" t="s">
        <v>1</v>
      </c>
      <c r="J1" s="2" t="s">
        <v>2</v>
      </c>
      <c r="K1" s="2" t="s">
        <v>39</v>
      </c>
      <c r="L1" s="2" t="s">
        <v>40</v>
      </c>
      <c r="M1" s="2" t="s">
        <v>41</v>
      </c>
    </row>
    <row r="2" spans="1:13" x14ac:dyDescent="0.25">
      <c r="A2" s="2" t="s">
        <v>427</v>
      </c>
      <c r="B2" s="2" t="s">
        <v>3</v>
      </c>
      <c r="C2" s="2" t="s">
        <v>45</v>
      </c>
      <c r="D2" s="2" t="s">
        <v>46</v>
      </c>
      <c r="E2" s="2">
        <f>Projections!A1</f>
        <v>0</v>
      </c>
      <c r="F2" s="2">
        <f>Projections!B1</f>
        <v>0</v>
      </c>
      <c r="G2" s="2">
        <v>54</v>
      </c>
      <c r="H2" s="2">
        <v>12500</v>
      </c>
      <c r="I2" s="2" t="s">
        <v>428</v>
      </c>
      <c r="J2" s="2" t="s">
        <v>4</v>
      </c>
      <c r="K2" s="2" t="s">
        <v>294</v>
      </c>
    </row>
    <row r="3" spans="1:13" x14ac:dyDescent="0.25">
      <c r="A3" s="2" t="s">
        <v>429</v>
      </c>
      <c r="B3" s="2" t="s">
        <v>8</v>
      </c>
      <c r="C3" s="2" t="s">
        <v>42</v>
      </c>
      <c r="D3" s="2" t="s">
        <v>43</v>
      </c>
      <c r="E3" s="2" t="str">
        <f>Projections!A2</f>
        <v>Russell Westbrook</v>
      </c>
      <c r="F3" s="2">
        <v>53.878570556640597</v>
      </c>
      <c r="G3" s="2">
        <v>56</v>
      </c>
      <c r="H3" s="2">
        <v>12500</v>
      </c>
      <c r="I3" s="2" t="s">
        <v>430</v>
      </c>
      <c r="J3" s="2" t="s">
        <v>44</v>
      </c>
      <c r="K3" s="2" t="s">
        <v>297</v>
      </c>
    </row>
    <row r="4" spans="1:13" x14ac:dyDescent="0.25">
      <c r="A4" s="2" t="s">
        <v>431</v>
      </c>
      <c r="B4" s="2" t="s">
        <v>8</v>
      </c>
      <c r="C4" s="2" t="s">
        <v>288</v>
      </c>
      <c r="D4" s="2" t="s">
        <v>289</v>
      </c>
      <c r="E4" s="2" t="str">
        <f>Projections!A3</f>
        <v>James Harden</v>
      </c>
      <c r="F4" s="2">
        <v>46.513724532781801</v>
      </c>
      <c r="G4" s="2">
        <v>51</v>
      </c>
      <c r="H4" s="2">
        <v>11200</v>
      </c>
      <c r="I4" s="2" t="s">
        <v>432</v>
      </c>
      <c r="J4" s="2" t="s">
        <v>290</v>
      </c>
      <c r="K4" s="2" t="s">
        <v>292</v>
      </c>
    </row>
    <row r="5" spans="1:13" x14ac:dyDescent="0.25">
      <c r="A5" s="2" t="s">
        <v>433</v>
      </c>
      <c r="B5" s="2" t="s">
        <v>6</v>
      </c>
      <c r="C5" s="2" t="s">
        <v>48</v>
      </c>
      <c r="D5" s="2" t="s">
        <v>42</v>
      </c>
      <c r="E5" s="2" t="str">
        <f>Projections!A4</f>
        <v>LeBron James</v>
      </c>
      <c r="F5" s="2">
        <v>48.1142877072704</v>
      </c>
      <c r="G5" s="2">
        <v>49</v>
      </c>
      <c r="H5" s="2">
        <v>11100</v>
      </c>
      <c r="I5" s="2" t="s">
        <v>434</v>
      </c>
      <c r="J5" s="2" t="s">
        <v>47</v>
      </c>
      <c r="K5" s="2" t="s">
        <v>296</v>
      </c>
    </row>
    <row r="6" spans="1:13" x14ac:dyDescent="0.25">
      <c r="A6" s="2" t="s">
        <v>435</v>
      </c>
      <c r="B6" s="2" t="s">
        <v>6</v>
      </c>
      <c r="C6" s="2" t="s">
        <v>52</v>
      </c>
      <c r="D6" s="2" t="s">
        <v>293</v>
      </c>
      <c r="E6" s="2" t="str">
        <f>Projections!A5</f>
        <v>Giannis Antetokounmpo</v>
      </c>
      <c r="F6" s="2">
        <v>46.375469855542399</v>
      </c>
      <c r="G6" s="2">
        <v>53</v>
      </c>
      <c r="H6" s="2">
        <v>10700</v>
      </c>
      <c r="I6" s="2" t="s">
        <v>428</v>
      </c>
      <c r="J6" s="2" t="s">
        <v>294</v>
      </c>
      <c r="K6" s="2" t="s">
        <v>4</v>
      </c>
    </row>
    <row r="7" spans="1:13" x14ac:dyDescent="0.25">
      <c r="A7" s="2" t="s">
        <v>436</v>
      </c>
      <c r="B7" s="2" t="s">
        <v>5</v>
      </c>
      <c r="C7" s="2" t="s">
        <v>73</v>
      </c>
      <c r="D7" s="2" t="s">
        <v>295</v>
      </c>
      <c r="E7" s="2" t="str">
        <f>Projections!A6</f>
        <v>Kevin Durant</v>
      </c>
      <c r="F7" s="2">
        <v>33.6500005307404</v>
      </c>
      <c r="G7" s="2">
        <v>46</v>
      </c>
      <c r="H7" s="2">
        <v>9900</v>
      </c>
      <c r="I7" s="2" t="s">
        <v>434</v>
      </c>
      <c r="J7" s="2" t="s">
        <v>296</v>
      </c>
      <c r="K7" s="2" t="s">
        <v>47</v>
      </c>
    </row>
    <row r="8" spans="1:13" x14ac:dyDescent="0.25">
      <c r="A8" s="2" t="s">
        <v>437</v>
      </c>
      <c r="B8" s="2" t="s">
        <v>3</v>
      </c>
      <c r="C8" s="2" t="s">
        <v>49</v>
      </c>
      <c r="D8" s="2" t="s">
        <v>50</v>
      </c>
      <c r="E8" s="2" t="str">
        <f>Projections!A7</f>
        <v>Nikola Jokic</v>
      </c>
      <c r="F8" s="2">
        <v>41.936732700892797</v>
      </c>
      <c r="G8" s="2">
        <v>49</v>
      </c>
      <c r="H8" s="2">
        <v>9800</v>
      </c>
      <c r="I8" s="2" t="s">
        <v>438</v>
      </c>
      <c r="J8" s="2" t="s">
        <v>51</v>
      </c>
      <c r="K8" s="2" t="s">
        <v>66</v>
      </c>
    </row>
    <row r="9" spans="1:13" x14ac:dyDescent="0.25">
      <c r="A9" s="2" t="s">
        <v>439</v>
      </c>
      <c r="B9" s="2" t="s">
        <v>3</v>
      </c>
      <c r="C9" s="2" t="s">
        <v>240</v>
      </c>
      <c r="D9" s="2" t="s">
        <v>127</v>
      </c>
      <c r="E9" s="2" t="str">
        <f>Projections!A8</f>
        <v>Isaiah Thomas</v>
      </c>
      <c r="F9" s="2">
        <v>40.525000939002403</v>
      </c>
      <c r="G9" s="2">
        <v>52</v>
      </c>
      <c r="H9" s="2">
        <v>9500</v>
      </c>
      <c r="I9" s="2" t="s">
        <v>428</v>
      </c>
      <c r="J9" s="2" t="s">
        <v>294</v>
      </c>
      <c r="K9" s="2" t="s">
        <v>4</v>
      </c>
    </row>
    <row r="10" spans="1:13" x14ac:dyDescent="0.25">
      <c r="A10" s="2" t="s">
        <v>440</v>
      </c>
      <c r="B10" s="2" t="s">
        <v>7</v>
      </c>
      <c r="C10" s="2" t="s">
        <v>298</v>
      </c>
      <c r="D10" s="2" t="s">
        <v>299</v>
      </c>
      <c r="E10" s="2" t="str">
        <f>Projections!A9</f>
        <v>Stephen Curry</v>
      </c>
      <c r="F10" s="2">
        <v>38.081632653061199</v>
      </c>
      <c r="G10" s="2">
        <v>49</v>
      </c>
      <c r="H10" s="2">
        <v>9100</v>
      </c>
      <c r="I10" s="2" t="s">
        <v>441</v>
      </c>
      <c r="J10" s="2" t="s">
        <v>300</v>
      </c>
      <c r="K10" s="2" t="s">
        <v>56</v>
      </c>
    </row>
    <row r="11" spans="1:13" x14ac:dyDescent="0.25">
      <c r="A11" s="2" t="s">
        <v>442</v>
      </c>
      <c r="B11" s="2" t="s">
        <v>6</v>
      </c>
      <c r="C11" s="2" t="s">
        <v>301</v>
      </c>
      <c r="D11" s="2" t="s">
        <v>95</v>
      </c>
      <c r="E11" s="2" t="str">
        <f>Projections!A10</f>
        <v>Blake Griffin</v>
      </c>
      <c r="F11" s="2">
        <v>36.167390242866801</v>
      </c>
      <c r="G11" s="2">
        <v>46</v>
      </c>
      <c r="H11" s="2">
        <v>8700</v>
      </c>
      <c r="I11" s="2" t="s">
        <v>432</v>
      </c>
      <c r="J11" s="2" t="s">
        <v>292</v>
      </c>
      <c r="K11" s="2" t="s">
        <v>290</v>
      </c>
    </row>
    <row r="12" spans="1:13" x14ac:dyDescent="0.25">
      <c r="A12" s="2" t="s">
        <v>443</v>
      </c>
      <c r="B12" s="2" t="s">
        <v>7</v>
      </c>
      <c r="C12" s="2" t="s">
        <v>54</v>
      </c>
      <c r="D12" s="2" t="s">
        <v>55</v>
      </c>
      <c r="E12" s="2" t="str">
        <f>Projections!A11</f>
        <v>Kyrie Irving</v>
      </c>
      <c r="F12" s="2">
        <v>35.696773405997902</v>
      </c>
      <c r="G12" s="2">
        <v>31</v>
      </c>
      <c r="H12" s="2">
        <v>8700</v>
      </c>
      <c r="I12" s="2" t="s">
        <v>441</v>
      </c>
      <c r="J12" s="2" t="s">
        <v>56</v>
      </c>
      <c r="K12" s="2" t="s">
        <v>300</v>
      </c>
      <c r="L12" s="2" t="s">
        <v>58</v>
      </c>
      <c r="M12" s="2" t="s">
        <v>59</v>
      </c>
    </row>
    <row r="13" spans="1:13" x14ac:dyDescent="0.25">
      <c r="A13" s="2" t="s">
        <v>444</v>
      </c>
      <c r="B13" s="2" t="s">
        <v>3</v>
      </c>
      <c r="C13" s="2" t="s">
        <v>115</v>
      </c>
      <c r="D13" s="2" t="s">
        <v>302</v>
      </c>
      <c r="E13" s="2" t="str">
        <f>Projections!A12</f>
        <v>Hassan Whiteside</v>
      </c>
      <c r="F13" s="2">
        <v>36.5870361328125</v>
      </c>
      <c r="G13" s="2">
        <v>54</v>
      </c>
      <c r="H13" s="2">
        <v>8300</v>
      </c>
      <c r="I13" s="2" t="s">
        <v>430</v>
      </c>
      <c r="J13" s="2" t="s">
        <v>297</v>
      </c>
      <c r="K13" s="2" t="s">
        <v>44</v>
      </c>
    </row>
    <row r="14" spans="1:13" x14ac:dyDescent="0.25">
      <c r="A14" s="2" t="s">
        <v>445</v>
      </c>
      <c r="B14" s="2" t="s">
        <v>3</v>
      </c>
      <c r="C14" s="2" t="s">
        <v>61</v>
      </c>
      <c r="D14" s="2" t="s">
        <v>62</v>
      </c>
      <c r="E14" s="2" t="str">
        <f>Projections!A13</f>
        <v>Paul George</v>
      </c>
      <c r="F14" s="2">
        <v>37.160870095957797</v>
      </c>
      <c r="G14" s="2">
        <v>46</v>
      </c>
      <c r="H14" s="2">
        <v>8300</v>
      </c>
      <c r="I14" s="2" t="s">
        <v>434</v>
      </c>
      <c r="J14" s="2" t="s">
        <v>47</v>
      </c>
      <c r="K14" s="2" t="s">
        <v>296</v>
      </c>
    </row>
    <row r="15" spans="1:13" x14ac:dyDescent="0.25">
      <c r="A15" s="2" t="s">
        <v>446</v>
      </c>
      <c r="B15" s="2" t="s">
        <v>5</v>
      </c>
      <c r="C15" s="2" t="s">
        <v>52</v>
      </c>
      <c r="D15" s="2" t="s">
        <v>53</v>
      </c>
      <c r="E15" s="2" t="str">
        <f>Projections!A14</f>
        <v>Kevin Love</v>
      </c>
      <c r="F15" s="2">
        <v>36.6377766927083</v>
      </c>
      <c r="G15" s="2">
        <v>45</v>
      </c>
      <c r="H15" s="2">
        <v>8200</v>
      </c>
      <c r="I15" s="2" t="s">
        <v>434</v>
      </c>
      <c r="J15" s="2" t="s">
        <v>47</v>
      </c>
      <c r="K15" s="2" t="s">
        <v>296</v>
      </c>
    </row>
    <row r="16" spans="1:13" x14ac:dyDescent="0.25">
      <c r="A16" s="2" t="s">
        <v>447</v>
      </c>
      <c r="B16" s="2" t="s">
        <v>6</v>
      </c>
      <c r="C16" s="2" t="s">
        <v>68</v>
      </c>
      <c r="D16" s="2" t="s">
        <v>69</v>
      </c>
      <c r="E16" s="2" t="str">
        <f>Projections!A15</f>
        <v>Jeff Teague</v>
      </c>
      <c r="F16" s="2">
        <v>35.112766996342998</v>
      </c>
      <c r="G16" s="2">
        <v>47</v>
      </c>
      <c r="H16" s="2">
        <v>8100</v>
      </c>
      <c r="I16" s="2" t="s">
        <v>438</v>
      </c>
      <c r="J16" s="2" t="s">
        <v>66</v>
      </c>
      <c r="K16" s="2" t="s">
        <v>51</v>
      </c>
    </row>
    <row r="17" spans="1:13" x14ac:dyDescent="0.25">
      <c r="A17" s="2" t="s">
        <v>448</v>
      </c>
      <c r="B17" s="2" t="s">
        <v>3</v>
      </c>
      <c r="C17" s="2" t="s">
        <v>303</v>
      </c>
      <c r="D17" s="2" t="s">
        <v>304</v>
      </c>
      <c r="E17" s="2" t="str">
        <f>Projections!A16</f>
        <v>Kemba Walker</v>
      </c>
      <c r="F17" s="2">
        <v>33.656520677649397</v>
      </c>
      <c r="G17" s="2">
        <v>46</v>
      </c>
      <c r="H17" s="2">
        <v>8100</v>
      </c>
      <c r="I17" s="2" t="s">
        <v>441</v>
      </c>
      <c r="J17" s="2" t="s">
        <v>300</v>
      </c>
      <c r="K17" s="2" t="s">
        <v>56</v>
      </c>
    </row>
    <row r="18" spans="1:13" x14ac:dyDescent="0.25">
      <c r="A18" s="2" t="s">
        <v>449</v>
      </c>
      <c r="B18" s="2" t="s">
        <v>5</v>
      </c>
      <c r="C18" s="2" t="s">
        <v>305</v>
      </c>
      <c r="D18" s="2" t="s">
        <v>230</v>
      </c>
      <c r="E18" s="2" t="str">
        <f>Projections!A17</f>
        <v>Rudy Gobert</v>
      </c>
      <c r="F18" s="2">
        <v>36.601999511718702</v>
      </c>
      <c r="G18" s="2">
        <v>50</v>
      </c>
      <c r="H18" s="2">
        <v>8000</v>
      </c>
      <c r="I18" s="2" t="s">
        <v>428</v>
      </c>
      <c r="J18" s="2" t="s">
        <v>294</v>
      </c>
      <c r="K18" s="2" t="s">
        <v>4</v>
      </c>
    </row>
    <row r="19" spans="1:13" x14ac:dyDescent="0.25">
      <c r="A19" s="2" t="s">
        <v>450</v>
      </c>
      <c r="B19" s="2" t="s">
        <v>7</v>
      </c>
      <c r="C19" s="2" t="s">
        <v>64</v>
      </c>
      <c r="D19" s="2" t="s">
        <v>65</v>
      </c>
      <c r="E19" s="2" t="str">
        <f>Projections!A18</f>
        <v>Goran Dragic</v>
      </c>
      <c r="F19" s="2">
        <v>34.3092583550347</v>
      </c>
      <c r="G19" s="2">
        <v>54</v>
      </c>
      <c r="H19" s="2">
        <v>7800</v>
      </c>
      <c r="I19" s="2" t="s">
        <v>438</v>
      </c>
      <c r="J19" s="2" t="s">
        <v>66</v>
      </c>
      <c r="K19" s="2" t="s">
        <v>51</v>
      </c>
    </row>
    <row r="20" spans="1:13" x14ac:dyDescent="0.25">
      <c r="A20" s="2" t="s">
        <v>451</v>
      </c>
      <c r="B20" s="2" t="s">
        <v>3</v>
      </c>
      <c r="C20" s="2" t="s">
        <v>227</v>
      </c>
      <c r="D20" s="2" t="s">
        <v>306</v>
      </c>
      <c r="E20" s="2" t="str">
        <f>Projections!A19</f>
        <v>Devin Booker</v>
      </c>
      <c r="F20" s="2">
        <v>34.137736770341903</v>
      </c>
      <c r="G20" s="2">
        <v>53</v>
      </c>
      <c r="H20" s="2">
        <v>7700</v>
      </c>
      <c r="I20" s="2" t="s">
        <v>432</v>
      </c>
      <c r="J20" s="2" t="s">
        <v>292</v>
      </c>
      <c r="K20" s="2" t="s">
        <v>290</v>
      </c>
    </row>
    <row r="21" spans="1:13" x14ac:dyDescent="0.25">
      <c r="A21" s="2" t="s">
        <v>452</v>
      </c>
      <c r="B21" s="2" t="s">
        <v>7</v>
      </c>
      <c r="C21" s="2" t="s">
        <v>73</v>
      </c>
      <c r="D21" s="2" t="s">
        <v>74</v>
      </c>
      <c r="E21" s="2" t="str">
        <f>Projections!A20</f>
        <v>Steven Adams</v>
      </c>
      <c r="F21" s="2">
        <v>32.525000939002403</v>
      </c>
      <c r="G21" s="2">
        <v>52</v>
      </c>
      <c r="H21" s="2">
        <v>7300</v>
      </c>
      <c r="I21" s="2" t="s">
        <v>453</v>
      </c>
      <c r="J21" s="2" t="s">
        <v>57</v>
      </c>
      <c r="K21" s="2" t="s">
        <v>67</v>
      </c>
    </row>
    <row r="22" spans="1:13" x14ac:dyDescent="0.25">
      <c r="A22" s="2" t="s">
        <v>454</v>
      </c>
      <c r="B22" s="2" t="s">
        <v>7</v>
      </c>
      <c r="C22" s="2" t="s">
        <v>71</v>
      </c>
      <c r="D22" s="2" t="s">
        <v>72</v>
      </c>
      <c r="E22" s="2" t="str">
        <f>Projections!A21</f>
        <v>Gordon Hayward</v>
      </c>
      <c r="F22" s="2">
        <v>33.760974418826201</v>
      </c>
      <c r="G22" s="2">
        <v>41</v>
      </c>
      <c r="H22" s="2">
        <v>7100</v>
      </c>
      <c r="I22" s="2" t="s">
        <v>438</v>
      </c>
      <c r="J22" s="2" t="s">
        <v>51</v>
      </c>
      <c r="K22" s="2" t="s">
        <v>66</v>
      </c>
    </row>
    <row r="23" spans="1:13" x14ac:dyDescent="0.25">
      <c r="A23" s="2" t="s">
        <v>455</v>
      </c>
      <c r="B23" s="2" t="s">
        <v>8</v>
      </c>
      <c r="C23" s="2" t="s">
        <v>307</v>
      </c>
      <c r="D23" s="2" t="s">
        <v>308</v>
      </c>
      <c r="E23" s="2" t="str">
        <f>Projections!A22</f>
        <v>Nicolas Batum</v>
      </c>
      <c r="F23" s="2">
        <v>26.540624618530199</v>
      </c>
      <c r="G23" s="2">
        <v>32</v>
      </c>
      <c r="H23" s="2">
        <v>7100</v>
      </c>
      <c r="I23" s="2" t="s">
        <v>441</v>
      </c>
      <c r="J23" s="2" t="s">
        <v>300</v>
      </c>
      <c r="K23" s="2" t="s">
        <v>56</v>
      </c>
      <c r="L23" s="2" t="s">
        <v>88</v>
      </c>
      <c r="M23" s="2" t="s">
        <v>166</v>
      </c>
    </row>
    <row r="24" spans="1:13" x14ac:dyDescent="0.25">
      <c r="A24" s="2" t="s">
        <v>456</v>
      </c>
      <c r="B24" s="2" t="s">
        <v>6</v>
      </c>
      <c r="C24" s="2" t="s">
        <v>309</v>
      </c>
      <c r="D24" s="2" t="s">
        <v>310</v>
      </c>
      <c r="E24" s="2" t="str">
        <f>Projections!A23</f>
        <v>Draymond Green</v>
      </c>
      <c r="F24" s="2">
        <v>26.850000554865002</v>
      </c>
      <c r="G24" s="2">
        <v>44</v>
      </c>
      <c r="H24" s="2">
        <v>6900</v>
      </c>
      <c r="I24" s="2" t="s">
        <v>434</v>
      </c>
      <c r="J24" s="2" t="s">
        <v>296</v>
      </c>
      <c r="K24" s="2" t="s">
        <v>47</v>
      </c>
      <c r="L24" s="2" t="s">
        <v>58</v>
      </c>
      <c r="M24" s="2" t="s">
        <v>311</v>
      </c>
    </row>
    <row r="25" spans="1:13" x14ac:dyDescent="0.25">
      <c r="A25" s="2" t="s">
        <v>457</v>
      </c>
      <c r="B25" s="2" t="s">
        <v>8</v>
      </c>
      <c r="C25" s="2" t="s">
        <v>162</v>
      </c>
      <c r="D25" s="2" t="s">
        <v>312</v>
      </c>
      <c r="E25" s="2" t="str">
        <f>Projections!A24</f>
        <v>Myles Turner</v>
      </c>
      <c r="F25" s="2">
        <v>28.909433040978701</v>
      </c>
      <c r="G25" s="2">
        <v>53</v>
      </c>
      <c r="H25" s="2">
        <v>6800</v>
      </c>
      <c r="I25" s="2" t="s">
        <v>430</v>
      </c>
      <c r="J25" s="2" t="s">
        <v>297</v>
      </c>
      <c r="K25" s="2" t="s">
        <v>44</v>
      </c>
    </row>
    <row r="26" spans="1:13" x14ac:dyDescent="0.25">
      <c r="A26" s="2" t="s">
        <v>458</v>
      </c>
      <c r="B26" s="2" t="s">
        <v>8</v>
      </c>
      <c r="C26" s="2" t="s">
        <v>313</v>
      </c>
      <c r="D26" s="2" t="s">
        <v>112</v>
      </c>
      <c r="E26" s="2" t="str">
        <f>Projections!A25</f>
        <v>DeAndre Jordan</v>
      </c>
      <c r="F26" s="2">
        <v>30.173076923076898</v>
      </c>
      <c r="G26" s="2">
        <v>52</v>
      </c>
      <c r="H26" s="2">
        <v>6800</v>
      </c>
      <c r="I26" s="2" t="s">
        <v>428</v>
      </c>
      <c r="J26" s="2" t="s">
        <v>294</v>
      </c>
      <c r="K26" s="2" t="s">
        <v>4</v>
      </c>
    </row>
    <row r="27" spans="1:13" x14ac:dyDescent="0.25">
      <c r="A27" s="2" t="s">
        <v>459</v>
      </c>
      <c r="B27" s="2" t="s">
        <v>6</v>
      </c>
      <c r="C27" s="2" t="s">
        <v>314</v>
      </c>
      <c r="D27" s="2" t="s">
        <v>315</v>
      </c>
      <c r="E27" s="2" t="str">
        <f>Projections!A26</f>
        <v>Wilson Chandler</v>
      </c>
      <c r="F27" s="2">
        <v>27.767346440529298</v>
      </c>
      <c r="G27" s="2">
        <v>49</v>
      </c>
      <c r="H27" s="2">
        <v>6700</v>
      </c>
      <c r="I27" s="2" t="s">
        <v>434</v>
      </c>
      <c r="J27" s="2" t="s">
        <v>296</v>
      </c>
      <c r="K27" s="2" t="s">
        <v>47</v>
      </c>
      <c r="L27" s="2" t="s">
        <v>88</v>
      </c>
      <c r="M27" s="2" t="s">
        <v>186</v>
      </c>
    </row>
    <row r="28" spans="1:13" x14ac:dyDescent="0.25">
      <c r="A28" s="2" t="s">
        <v>460</v>
      </c>
      <c r="B28" s="2" t="s">
        <v>8</v>
      </c>
      <c r="C28" s="2" t="s">
        <v>75</v>
      </c>
      <c r="D28" s="2" t="s">
        <v>76</v>
      </c>
      <c r="E28" s="2" t="str">
        <f>Projections!A27</f>
        <v>Serge Ibaka</v>
      </c>
      <c r="F28" s="2">
        <v>30.794443766276</v>
      </c>
      <c r="G28" s="2">
        <v>36</v>
      </c>
      <c r="H28" s="2">
        <v>6500</v>
      </c>
      <c r="I28" s="2" t="s">
        <v>438</v>
      </c>
      <c r="J28" s="2" t="s">
        <v>51</v>
      </c>
      <c r="K28" s="2" t="s">
        <v>66</v>
      </c>
      <c r="L28" s="2" t="s">
        <v>58</v>
      </c>
      <c r="M28" s="2" t="s">
        <v>77</v>
      </c>
    </row>
    <row r="29" spans="1:13" x14ac:dyDescent="0.25">
      <c r="A29" s="2" t="s">
        <v>461</v>
      </c>
      <c r="B29" s="2" t="s">
        <v>6</v>
      </c>
      <c r="C29" s="2" t="s">
        <v>82</v>
      </c>
      <c r="D29" s="2" t="s">
        <v>83</v>
      </c>
      <c r="E29" s="2" t="str">
        <f>Projections!A28</f>
        <v>Nikola Vucevic</v>
      </c>
      <c r="F29" s="2">
        <v>29.8905651164504</v>
      </c>
      <c r="G29" s="2">
        <v>53</v>
      </c>
      <c r="H29" s="2">
        <v>6500</v>
      </c>
      <c r="I29" s="2" t="s">
        <v>453</v>
      </c>
      <c r="J29" s="2" t="s">
        <v>67</v>
      </c>
      <c r="K29" s="2" t="s">
        <v>57</v>
      </c>
    </row>
    <row r="30" spans="1:13" x14ac:dyDescent="0.25">
      <c r="A30" s="2" t="s">
        <v>462</v>
      </c>
      <c r="B30" s="2" t="s">
        <v>8</v>
      </c>
      <c r="C30" s="2" t="s">
        <v>80</v>
      </c>
      <c r="D30" s="2" t="s">
        <v>81</v>
      </c>
      <c r="E30" s="2" t="str">
        <f>Projections!A29</f>
        <v>Harrison Barnes</v>
      </c>
      <c r="F30" s="2">
        <v>27.108889431423599</v>
      </c>
      <c r="G30" s="2">
        <v>45</v>
      </c>
      <c r="H30" s="2">
        <v>6400</v>
      </c>
      <c r="I30" s="2" t="s">
        <v>428</v>
      </c>
      <c r="J30" s="2" t="s">
        <v>4</v>
      </c>
      <c r="K30" s="2" t="s">
        <v>294</v>
      </c>
    </row>
    <row r="31" spans="1:13" x14ac:dyDescent="0.25">
      <c r="A31" s="2" t="s">
        <v>463</v>
      </c>
      <c r="B31" s="2" t="s">
        <v>7</v>
      </c>
      <c r="C31" s="2" t="s">
        <v>316</v>
      </c>
      <c r="D31" s="2" t="s">
        <v>140</v>
      </c>
      <c r="E31" s="2" t="str">
        <f>Projections!A30</f>
        <v>Victor Oladipo</v>
      </c>
      <c r="F31" s="2">
        <v>30.424999530498798</v>
      </c>
      <c r="G31" s="2">
        <v>52</v>
      </c>
      <c r="H31" s="2">
        <v>6400</v>
      </c>
      <c r="I31" s="2" t="s">
        <v>432</v>
      </c>
      <c r="J31" s="2" t="s">
        <v>292</v>
      </c>
      <c r="K31" s="2" t="s">
        <v>290</v>
      </c>
    </row>
    <row r="32" spans="1:13" x14ac:dyDescent="0.25">
      <c r="A32" s="2" t="s">
        <v>464</v>
      </c>
      <c r="B32" s="2" t="s">
        <v>6</v>
      </c>
      <c r="C32" s="2" t="s">
        <v>99</v>
      </c>
      <c r="D32" s="2" t="s">
        <v>100</v>
      </c>
      <c r="E32" s="2" t="str">
        <f>Projections!A31</f>
        <v>Al Horford</v>
      </c>
      <c r="F32" s="2">
        <v>24.529787753490599</v>
      </c>
      <c r="G32" s="2">
        <v>47</v>
      </c>
      <c r="H32" s="2">
        <v>6300</v>
      </c>
      <c r="I32" s="2" t="s">
        <v>441</v>
      </c>
      <c r="J32" s="2" t="s">
        <v>56</v>
      </c>
      <c r="K32" s="2" t="s">
        <v>300</v>
      </c>
    </row>
    <row r="33" spans="1:13" x14ac:dyDescent="0.25">
      <c r="A33" s="2" t="s">
        <v>465</v>
      </c>
      <c r="B33" s="2" t="s">
        <v>7</v>
      </c>
      <c r="C33" s="2" t="s">
        <v>90</v>
      </c>
      <c r="D33" s="2" t="s">
        <v>91</v>
      </c>
      <c r="E33" s="2" t="str">
        <f>Projections!A32</f>
        <v>Will Barton</v>
      </c>
      <c r="F33" s="2">
        <v>25.976924015925398</v>
      </c>
      <c r="G33" s="2">
        <v>52</v>
      </c>
      <c r="H33" s="2">
        <v>6300</v>
      </c>
      <c r="I33" s="2" t="s">
        <v>428</v>
      </c>
      <c r="J33" s="2" t="s">
        <v>4</v>
      </c>
      <c r="K33" s="2" t="s">
        <v>294</v>
      </c>
    </row>
    <row r="34" spans="1:13" x14ac:dyDescent="0.25">
      <c r="A34" s="2" t="s">
        <v>466</v>
      </c>
      <c r="B34" s="2" t="s">
        <v>8</v>
      </c>
      <c r="C34" s="2" t="s">
        <v>322</v>
      </c>
      <c r="D34" s="2" t="s">
        <v>323</v>
      </c>
      <c r="E34" s="2" t="str">
        <f>Projections!A33</f>
        <v>George Hill</v>
      </c>
      <c r="F34" s="2">
        <v>24.9846160106169</v>
      </c>
      <c r="G34" s="2">
        <v>39</v>
      </c>
      <c r="H34" s="2">
        <v>6200</v>
      </c>
      <c r="I34" s="2" t="s">
        <v>434</v>
      </c>
      <c r="J34" s="2" t="s">
        <v>296</v>
      </c>
      <c r="K34" s="2" t="s">
        <v>47</v>
      </c>
    </row>
    <row r="35" spans="1:13" x14ac:dyDescent="0.25">
      <c r="A35" s="2" t="s">
        <v>467</v>
      </c>
      <c r="B35" s="2" t="s">
        <v>6</v>
      </c>
      <c r="C35" s="2" t="s">
        <v>78</v>
      </c>
      <c r="D35" s="2" t="s">
        <v>79</v>
      </c>
      <c r="E35" s="2" t="str">
        <f>Projections!A34</f>
        <v>Robert Covington</v>
      </c>
      <c r="F35" s="2">
        <v>25.468181263316701</v>
      </c>
      <c r="G35" s="2">
        <v>44</v>
      </c>
      <c r="H35" s="2">
        <v>6200</v>
      </c>
      <c r="I35" s="2" t="s">
        <v>438</v>
      </c>
      <c r="J35" s="2" t="s">
        <v>51</v>
      </c>
      <c r="K35" s="2" t="s">
        <v>66</v>
      </c>
      <c r="L35" s="2" t="s">
        <v>88</v>
      </c>
      <c r="M35" s="2" t="s">
        <v>251</v>
      </c>
    </row>
    <row r="36" spans="1:13" x14ac:dyDescent="0.25">
      <c r="A36" s="2" t="s">
        <v>468</v>
      </c>
      <c r="B36" s="2" t="s">
        <v>3</v>
      </c>
      <c r="C36" s="2" t="s">
        <v>86</v>
      </c>
      <c r="D36" s="2" t="s">
        <v>87</v>
      </c>
      <c r="E36" s="2" t="str">
        <f>Projections!A35</f>
        <v>Clint Capela</v>
      </c>
      <c r="F36" s="2">
        <v>26.170269940350501</v>
      </c>
      <c r="G36" s="2">
        <v>37</v>
      </c>
      <c r="H36" s="2">
        <v>6200</v>
      </c>
      <c r="I36" s="2" t="s">
        <v>453</v>
      </c>
      <c r="J36" s="2" t="s">
        <v>67</v>
      </c>
      <c r="K36" s="2" t="s">
        <v>57</v>
      </c>
      <c r="L36" s="2" t="s">
        <v>58</v>
      </c>
      <c r="M36" s="2" t="s">
        <v>89</v>
      </c>
    </row>
    <row r="37" spans="1:13" x14ac:dyDescent="0.25">
      <c r="A37" s="2" t="s">
        <v>469</v>
      </c>
      <c r="B37" s="2" t="s">
        <v>5</v>
      </c>
      <c r="C37" s="2" t="s">
        <v>92</v>
      </c>
      <c r="D37" s="2" t="s">
        <v>93</v>
      </c>
      <c r="E37" s="2" t="str">
        <f>Projections!A36</f>
        <v>Klay Thompson</v>
      </c>
      <c r="F37" s="2">
        <v>24.5744680851063</v>
      </c>
      <c r="G37" s="2">
        <v>47</v>
      </c>
      <c r="H37" s="2">
        <v>6100</v>
      </c>
      <c r="I37" s="2" t="s">
        <v>428</v>
      </c>
      <c r="J37" s="2" t="s">
        <v>4</v>
      </c>
      <c r="K37" s="2" t="s">
        <v>294</v>
      </c>
      <c r="L37" s="2" t="s">
        <v>58</v>
      </c>
      <c r="M37" s="2" t="s">
        <v>94</v>
      </c>
    </row>
    <row r="38" spans="1:13" x14ac:dyDescent="0.25">
      <c r="A38" s="2" t="s">
        <v>470</v>
      </c>
      <c r="B38" s="2" t="s">
        <v>5</v>
      </c>
      <c r="C38" s="2" t="s">
        <v>317</v>
      </c>
      <c r="D38" s="2" t="s">
        <v>318</v>
      </c>
      <c r="E38" s="2" t="str">
        <f>Projections!A37</f>
        <v>Trevor Ariza</v>
      </c>
      <c r="F38" s="2">
        <v>22.787234042553099</v>
      </c>
      <c r="G38" s="2">
        <v>47</v>
      </c>
      <c r="H38" s="2">
        <v>6100</v>
      </c>
      <c r="I38" s="2" t="s">
        <v>434</v>
      </c>
      <c r="J38" s="2" t="s">
        <v>296</v>
      </c>
      <c r="K38" s="2" t="s">
        <v>47</v>
      </c>
      <c r="L38" s="2" t="s">
        <v>58</v>
      </c>
      <c r="M38" s="2" t="s">
        <v>166</v>
      </c>
    </row>
    <row r="39" spans="1:13" x14ac:dyDescent="0.25">
      <c r="A39" s="2" t="s">
        <v>471</v>
      </c>
      <c r="B39" s="2" t="s">
        <v>3</v>
      </c>
      <c r="C39" s="2" t="s">
        <v>95</v>
      </c>
      <c r="D39" s="2" t="s">
        <v>96</v>
      </c>
      <c r="E39" s="2" t="str">
        <f>Projections!A38</f>
        <v>Evan Fournier</v>
      </c>
      <c r="F39" s="2">
        <v>29.134483600484899</v>
      </c>
      <c r="G39" s="2">
        <v>29</v>
      </c>
      <c r="H39" s="2">
        <v>6100</v>
      </c>
      <c r="I39" s="2" t="s">
        <v>438</v>
      </c>
      <c r="J39" s="2" t="s">
        <v>66</v>
      </c>
      <c r="K39" s="2" t="s">
        <v>51</v>
      </c>
    </row>
    <row r="40" spans="1:13" x14ac:dyDescent="0.25">
      <c r="A40" s="2" t="s">
        <v>472</v>
      </c>
      <c r="B40" s="2" t="s">
        <v>5</v>
      </c>
      <c r="C40" s="2" t="s">
        <v>97</v>
      </c>
      <c r="D40" s="2" t="s">
        <v>98</v>
      </c>
      <c r="E40" s="2" t="str">
        <f>Projections!A39</f>
        <v>Gary Harris</v>
      </c>
      <c r="F40" s="2">
        <v>28.268518518518501</v>
      </c>
      <c r="G40" s="2">
        <v>54</v>
      </c>
      <c r="H40" s="2">
        <v>6000</v>
      </c>
      <c r="I40" s="2" t="s">
        <v>453</v>
      </c>
      <c r="J40" s="2" t="s">
        <v>57</v>
      </c>
      <c r="K40" s="2" t="s">
        <v>67</v>
      </c>
    </row>
    <row r="41" spans="1:13" x14ac:dyDescent="0.25">
      <c r="A41" s="2" t="s">
        <v>473</v>
      </c>
      <c r="B41" s="2" t="s">
        <v>5</v>
      </c>
      <c r="C41" s="2" t="s">
        <v>42</v>
      </c>
      <c r="D41" s="2" t="s">
        <v>170</v>
      </c>
      <c r="E41" s="2" t="str">
        <f>Projections!A40</f>
        <v>T.J. Warren</v>
      </c>
      <c r="F41" s="2">
        <v>24.679592833227002</v>
      </c>
      <c r="G41" s="2">
        <v>49</v>
      </c>
      <c r="H41" s="2">
        <v>6000</v>
      </c>
      <c r="I41" s="2" t="s">
        <v>441</v>
      </c>
      <c r="J41" s="2" t="s">
        <v>300</v>
      </c>
      <c r="K41" s="2" t="s">
        <v>56</v>
      </c>
    </row>
    <row r="42" spans="1:13" x14ac:dyDescent="0.25">
      <c r="A42" s="2" t="s">
        <v>474</v>
      </c>
      <c r="B42" s="2" t="s">
        <v>3</v>
      </c>
      <c r="C42" s="2" t="s">
        <v>84</v>
      </c>
      <c r="D42" s="2" t="s">
        <v>85</v>
      </c>
      <c r="E42" s="2" t="str">
        <f>Projections!A41</f>
        <v>Marvin Williams</v>
      </c>
      <c r="F42" s="2">
        <v>27.045454545454501</v>
      </c>
      <c r="G42" s="2">
        <v>55</v>
      </c>
      <c r="H42" s="2">
        <v>5900</v>
      </c>
      <c r="I42" s="2" t="s">
        <v>453</v>
      </c>
      <c r="J42" s="2" t="s">
        <v>57</v>
      </c>
      <c r="K42" s="2" t="s">
        <v>67</v>
      </c>
    </row>
    <row r="43" spans="1:13" x14ac:dyDescent="0.25">
      <c r="A43" s="2" t="s">
        <v>475</v>
      </c>
      <c r="B43" s="2" t="s">
        <v>7</v>
      </c>
      <c r="C43" s="2" t="s">
        <v>320</v>
      </c>
      <c r="D43" s="2" t="s">
        <v>321</v>
      </c>
      <c r="E43" s="2" t="str">
        <f>Projections!A42</f>
        <v>James Johnson</v>
      </c>
      <c r="F43" s="2">
        <v>23.860784792432501</v>
      </c>
      <c r="G43" s="2">
        <v>51</v>
      </c>
      <c r="H43" s="2">
        <v>5800</v>
      </c>
      <c r="I43" s="2" t="s">
        <v>432</v>
      </c>
      <c r="J43" s="2" t="s">
        <v>290</v>
      </c>
      <c r="K43" s="2" t="s">
        <v>292</v>
      </c>
    </row>
    <row r="44" spans="1:13" x14ac:dyDescent="0.25">
      <c r="A44" s="2" t="s">
        <v>476</v>
      </c>
      <c r="B44" s="2" t="s">
        <v>8</v>
      </c>
      <c r="C44" s="2" t="s">
        <v>101</v>
      </c>
      <c r="D44" s="2" t="s">
        <v>102</v>
      </c>
      <c r="E44" s="2" t="str">
        <f>Projections!A43</f>
        <v>Austin Rivers</v>
      </c>
      <c r="F44" s="2">
        <v>24.481999511718701</v>
      </c>
      <c r="G44" s="2">
        <v>50</v>
      </c>
      <c r="H44" s="2">
        <v>5800</v>
      </c>
      <c r="I44" s="2" t="s">
        <v>453</v>
      </c>
      <c r="J44" s="2" t="s">
        <v>67</v>
      </c>
      <c r="K44" s="2" t="s">
        <v>57</v>
      </c>
    </row>
    <row r="45" spans="1:13" x14ac:dyDescent="0.25">
      <c r="A45" s="2" t="s">
        <v>477</v>
      </c>
      <c r="B45" s="2" t="s">
        <v>8</v>
      </c>
      <c r="C45" s="2" t="s">
        <v>107</v>
      </c>
      <c r="D45" s="2" t="s">
        <v>108</v>
      </c>
      <c r="E45" s="2" t="str">
        <f>Projections!A44</f>
        <v>Dirk Nowitzki</v>
      </c>
      <c r="F45" s="2">
        <v>23.681999511718701</v>
      </c>
      <c r="G45" s="2">
        <v>50</v>
      </c>
      <c r="H45" s="2">
        <v>5700</v>
      </c>
      <c r="I45" s="2" t="s">
        <v>438</v>
      </c>
      <c r="J45" s="2" t="s">
        <v>51</v>
      </c>
      <c r="K45" s="2" t="s">
        <v>66</v>
      </c>
    </row>
    <row r="46" spans="1:13" x14ac:dyDescent="0.25">
      <c r="A46" s="2" t="s">
        <v>478</v>
      </c>
      <c r="B46" s="2" t="s">
        <v>3</v>
      </c>
      <c r="C46" s="2" t="s">
        <v>103</v>
      </c>
      <c r="D46" s="2" t="s">
        <v>104</v>
      </c>
      <c r="E46" s="2" t="str">
        <f>Projections!A45</f>
        <v>Deron Williams</v>
      </c>
      <c r="F46" s="2">
        <v>16.876470229204902</v>
      </c>
      <c r="G46" s="2">
        <v>17</v>
      </c>
      <c r="H46" s="2">
        <v>5700</v>
      </c>
      <c r="I46" s="2" t="s">
        <v>453</v>
      </c>
      <c r="J46" s="2" t="s">
        <v>67</v>
      </c>
      <c r="K46" s="2" t="s">
        <v>57</v>
      </c>
    </row>
    <row r="47" spans="1:13" x14ac:dyDescent="0.25">
      <c r="A47" s="2" t="s">
        <v>479</v>
      </c>
      <c r="B47" s="2" t="s">
        <v>5</v>
      </c>
      <c r="C47" s="2" t="s">
        <v>105</v>
      </c>
      <c r="D47" s="2" t="s">
        <v>106</v>
      </c>
      <c r="E47" s="2" t="str">
        <f>Projections!A46</f>
        <v>Nerlens Noel</v>
      </c>
      <c r="F47" s="2">
        <v>24.4185180664062</v>
      </c>
      <c r="G47" s="2">
        <v>27</v>
      </c>
      <c r="H47" s="2">
        <v>5700</v>
      </c>
      <c r="I47" s="2" t="s">
        <v>453</v>
      </c>
      <c r="J47" s="2" t="s">
        <v>67</v>
      </c>
      <c r="K47" s="2" t="s">
        <v>57</v>
      </c>
    </row>
    <row r="48" spans="1:13" x14ac:dyDescent="0.25">
      <c r="A48" s="2" t="s">
        <v>480</v>
      </c>
      <c r="B48" s="2" t="s">
        <v>5</v>
      </c>
      <c r="C48" s="2" t="s">
        <v>324</v>
      </c>
      <c r="D48" s="2" t="s">
        <v>250</v>
      </c>
      <c r="E48" s="2" t="str">
        <f>Projections!A47</f>
        <v>Eric Gordon</v>
      </c>
      <c r="F48" s="2">
        <v>24.475511200573902</v>
      </c>
      <c r="G48" s="2">
        <v>49</v>
      </c>
      <c r="H48" s="2">
        <v>5700</v>
      </c>
      <c r="I48" s="2" t="s">
        <v>432</v>
      </c>
      <c r="J48" s="2" t="s">
        <v>292</v>
      </c>
      <c r="K48" s="2" t="s">
        <v>290</v>
      </c>
      <c r="L48" s="2" t="s">
        <v>88</v>
      </c>
      <c r="M48" s="2" t="s">
        <v>325</v>
      </c>
    </row>
    <row r="49" spans="1:13" x14ac:dyDescent="0.25">
      <c r="A49" s="2" t="s">
        <v>481</v>
      </c>
      <c r="B49" s="2" t="s">
        <v>3</v>
      </c>
      <c r="C49" s="2" t="s">
        <v>218</v>
      </c>
      <c r="D49" s="2" t="s">
        <v>170</v>
      </c>
      <c r="E49" s="2" t="str">
        <f>Projections!A48</f>
        <v>Wesley Matthews</v>
      </c>
      <c r="F49" s="2">
        <v>26.493477199388501</v>
      </c>
      <c r="G49" s="2">
        <v>46</v>
      </c>
      <c r="H49" s="2">
        <v>5600</v>
      </c>
      <c r="I49" s="2" t="s">
        <v>441</v>
      </c>
      <c r="J49" s="2" t="s">
        <v>300</v>
      </c>
      <c r="K49" s="2" t="s">
        <v>56</v>
      </c>
    </row>
    <row r="50" spans="1:13" x14ac:dyDescent="0.25">
      <c r="A50" s="2" t="s">
        <v>482</v>
      </c>
      <c r="B50" s="2" t="s">
        <v>5</v>
      </c>
      <c r="C50" s="2" t="s">
        <v>109</v>
      </c>
      <c r="D50" s="2" t="s">
        <v>110</v>
      </c>
      <c r="E50" s="2" t="str">
        <f>Projections!A49</f>
        <v>Ersan Ilyasova</v>
      </c>
      <c r="F50" s="2">
        <v>24.784905199734599</v>
      </c>
      <c r="G50" s="2">
        <v>53</v>
      </c>
      <c r="H50" s="2">
        <v>5600</v>
      </c>
      <c r="I50" s="2" t="s">
        <v>441</v>
      </c>
      <c r="J50" s="2" t="s">
        <v>56</v>
      </c>
      <c r="K50" s="2" t="s">
        <v>300</v>
      </c>
    </row>
    <row r="51" spans="1:13" x14ac:dyDescent="0.25">
      <c r="A51" s="2" t="s">
        <v>483</v>
      </c>
      <c r="B51" s="2" t="s">
        <v>8</v>
      </c>
      <c r="C51" s="2" t="s">
        <v>119</v>
      </c>
      <c r="D51" s="2" t="s">
        <v>120</v>
      </c>
      <c r="E51" s="2" t="str">
        <f>Projections!A50</f>
        <v>Tyler Johnson</v>
      </c>
      <c r="F51" s="2">
        <v>25.7523803710937</v>
      </c>
      <c r="G51" s="2">
        <v>42</v>
      </c>
      <c r="H51" s="2">
        <v>5500</v>
      </c>
      <c r="I51" s="2" t="s">
        <v>453</v>
      </c>
      <c r="J51" s="2" t="s">
        <v>57</v>
      </c>
      <c r="K51" s="2" t="s">
        <v>67</v>
      </c>
    </row>
    <row r="52" spans="1:13" x14ac:dyDescent="0.25">
      <c r="A52" s="2" t="s">
        <v>484</v>
      </c>
      <c r="B52" s="2" t="s">
        <v>8</v>
      </c>
      <c r="C52" s="2" t="s">
        <v>126</v>
      </c>
      <c r="D52" s="2" t="s">
        <v>127</v>
      </c>
      <c r="E52" s="2" t="str">
        <f>Projections!A51</f>
        <v>Cody Zeller</v>
      </c>
      <c r="F52" s="2">
        <v>19.9755099549585</v>
      </c>
      <c r="G52" s="2">
        <v>49</v>
      </c>
      <c r="H52" s="2">
        <v>5500</v>
      </c>
      <c r="I52" s="2" t="s">
        <v>453</v>
      </c>
      <c r="J52" s="2" t="s">
        <v>67</v>
      </c>
      <c r="K52" s="2" t="s">
        <v>57</v>
      </c>
    </row>
    <row r="53" spans="1:13" x14ac:dyDescent="0.25">
      <c r="A53" s="2" t="s">
        <v>485</v>
      </c>
      <c r="B53" s="2" t="s">
        <v>7</v>
      </c>
      <c r="C53" s="2" t="s">
        <v>326</v>
      </c>
      <c r="D53" s="2" t="s">
        <v>315</v>
      </c>
      <c r="E53" s="2" t="str">
        <f>Projections!A52</f>
        <v>Brandon Knight</v>
      </c>
      <c r="F53" s="2">
        <v>24.266666666666602</v>
      </c>
      <c r="G53" s="2">
        <v>45</v>
      </c>
      <c r="H53" s="2">
        <v>5500</v>
      </c>
      <c r="I53" s="2" t="s">
        <v>430</v>
      </c>
      <c r="J53" s="2" t="s">
        <v>297</v>
      </c>
      <c r="K53" s="2" t="s">
        <v>44</v>
      </c>
      <c r="L53" s="2" t="s">
        <v>88</v>
      </c>
      <c r="M53" s="2" t="s">
        <v>166</v>
      </c>
    </row>
    <row r="54" spans="1:13" x14ac:dyDescent="0.25">
      <c r="A54" s="2" t="s">
        <v>486</v>
      </c>
      <c r="B54" s="2" t="s">
        <v>6</v>
      </c>
      <c r="C54" s="2" t="s">
        <v>121</v>
      </c>
      <c r="D54" s="2" t="s">
        <v>122</v>
      </c>
      <c r="E54" s="2" t="str">
        <f>Projections!A53</f>
        <v>Tristan Thompson</v>
      </c>
      <c r="F54" s="2">
        <v>25.407143729073599</v>
      </c>
      <c r="G54" s="2">
        <v>56</v>
      </c>
      <c r="H54" s="2">
        <v>5500</v>
      </c>
      <c r="I54" s="2" t="s">
        <v>430</v>
      </c>
      <c r="J54" s="2" t="s">
        <v>44</v>
      </c>
      <c r="K54" s="2" t="s">
        <v>297</v>
      </c>
    </row>
    <row r="55" spans="1:13" x14ac:dyDescent="0.25">
      <c r="A55" s="2" t="s">
        <v>487</v>
      </c>
      <c r="B55" s="2" t="s">
        <v>8</v>
      </c>
      <c r="C55" s="2" t="s">
        <v>115</v>
      </c>
      <c r="D55" s="2" t="s">
        <v>68</v>
      </c>
      <c r="E55" s="2" t="str">
        <f>Projections!A54</f>
        <v>Alex Len</v>
      </c>
      <c r="F55" s="2">
        <v>25.203922047334501</v>
      </c>
      <c r="G55" s="2">
        <v>51</v>
      </c>
      <c r="H55" s="2">
        <v>5500</v>
      </c>
      <c r="I55" s="2" t="s">
        <v>430</v>
      </c>
      <c r="J55" s="2" t="s">
        <v>44</v>
      </c>
      <c r="K55" s="2" t="s">
        <v>297</v>
      </c>
      <c r="L55" s="2" t="s">
        <v>88</v>
      </c>
      <c r="M55" s="2" t="s">
        <v>335</v>
      </c>
    </row>
    <row r="56" spans="1:13" x14ac:dyDescent="0.25">
      <c r="A56" s="2" t="s">
        <v>488</v>
      </c>
      <c r="B56" s="2" t="s">
        <v>7</v>
      </c>
      <c r="C56" s="2" t="s">
        <v>111</v>
      </c>
      <c r="D56" s="2" t="s">
        <v>112</v>
      </c>
      <c r="E56" s="2" t="str">
        <f>Projections!A55</f>
        <v>P.J. Tucker</v>
      </c>
      <c r="F56" s="2">
        <v>23.325000469501202</v>
      </c>
      <c r="G56" s="2">
        <v>52</v>
      </c>
      <c r="H56" s="2">
        <v>5400</v>
      </c>
      <c r="I56" s="2" t="s">
        <v>434</v>
      </c>
      <c r="J56" s="2" t="s">
        <v>47</v>
      </c>
      <c r="K56" s="2" t="s">
        <v>296</v>
      </c>
    </row>
    <row r="57" spans="1:13" x14ac:dyDescent="0.25">
      <c r="A57" s="2" t="s">
        <v>489</v>
      </c>
      <c r="B57" s="2" t="s">
        <v>3</v>
      </c>
      <c r="C57" s="2" t="s">
        <v>113</v>
      </c>
      <c r="D57" s="2" t="s">
        <v>114</v>
      </c>
      <c r="E57" s="2" t="str">
        <f>Projections!A56</f>
        <v>Jameer Nelson</v>
      </c>
      <c r="F57" s="2">
        <v>25.3119041806175</v>
      </c>
      <c r="G57" s="2">
        <v>42</v>
      </c>
      <c r="H57" s="2">
        <v>5400</v>
      </c>
      <c r="I57" s="2" t="s">
        <v>430</v>
      </c>
      <c r="J57" s="2" t="s">
        <v>44</v>
      </c>
      <c r="K57" s="2" t="s">
        <v>297</v>
      </c>
    </row>
    <row r="58" spans="1:13" x14ac:dyDescent="0.25">
      <c r="A58" s="2" t="s">
        <v>490</v>
      </c>
      <c r="B58" s="2" t="s">
        <v>3</v>
      </c>
      <c r="C58" s="2" t="s">
        <v>130</v>
      </c>
      <c r="D58" s="2" t="s">
        <v>131</v>
      </c>
      <c r="E58" s="2" t="str">
        <f>Projections!A57</f>
        <v>T.J. McConnell</v>
      </c>
      <c r="F58" s="2">
        <v>19.832693246694699</v>
      </c>
      <c r="G58" s="2">
        <v>52</v>
      </c>
      <c r="H58" s="2">
        <v>5400</v>
      </c>
      <c r="I58" s="2" t="s">
        <v>441</v>
      </c>
      <c r="J58" s="2" t="s">
        <v>56</v>
      </c>
      <c r="K58" s="2" t="s">
        <v>300</v>
      </c>
    </row>
    <row r="59" spans="1:13" x14ac:dyDescent="0.25">
      <c r="A59" s="2" t="s">
        <v>491</v>
      </c>
      <c r="B59" s="2" t="s">
        <v>7</v>
      </c>
      <c r="C59" s="2" t="s">
        <v>128</v>
      </c>
      <c r="D59" s="2" t="s">
        <v>129</v>
      </c>
      <c r="E59" s="2" t="str">
        <f>Projections!A58</f>
        <v>Elfrid Payton</v>
      </c>
      <c r="F59" s="2">
        <v>25.092684117759099</v>
      </c>
      <c r="G59" s="2">
        <v>41</v>
      </c>
      <c r="H59" s="2">
        <v>5300</v>
      </c>
      <c r="I59" s="2" t="s">
        <v>430</v>
      </c>
      <c r="J59" s="2" t="s">
        <v>44</v>
      </c>
      <c r="K59" s="2" t="s">
        <v>297</v>
      </c>
    </row>
    <row r="60" spans="1:13" x14ac:dyDescent="0.25">
      <c r="A60" s="2" t="s">
        <v>492</v>
      </c>
      <c r="B60" s="2" t="s">
        <v>8</v>
      </c>
      <c r="C60" s="2" t="s">
        <v>210</v>
      </c>
      <c r="D60" s="2" t="s">
        <v>327</v>
      </c>
      <c r="E60" s="2" t="str">
        <f>Projections!A59</f>
        <v>Greg Monroe</v>
      </c>
      <c r="F60" s="2">
        <v>20.7535705566406</v>
      </c>
      <c r="G60" s="2">
        <v>28</v>
      </c>
      <c r="H60" s="2">
        <v>5300</v>
      </c>
      <c r="I60" s="2" t="s">
        <v>441</v>
      </c>
      <c r="J60" s="2" t="s">
        <v>300</v>
      </c>
      <c r="K60" s="2" t="s">
        <v>56</v>
      </c>
      <c r="L60" s="2" t="s">
        <v>88</v>
      </c>
      <c r="M60" s="2" t="s">
        <v>166</v>
      </c>
    </row>
    <row r="61" spans="1:13" x14ac:dyDescent="0.25">
      <c r="A61" s="2" t="s">
        <v>493</v>
      </c>
      <c r="B61" s="2" t="s">
        <v>5</v>
      </c>
      <c r="C61" s="2" t="s">
        <v>117</v>
      </c>
      <c r="D61" s="2" t="s">
        <v>118</v>
      </c>
      <c r="E61" s="2" t="str">
        <f>Projections!A60</f>
        <v>Patrick Beverley</v>
      </c>
      <c r="F61" s="2">
        <v>18.726922842172399</v>
      </c>
      <c r="G61" s="2">
        <v>26</v>
      </c>
      <c r="H61" s="2">
        <v>5200</v>
      </c>
      <c r="I61" s="2" t="s">
        <v>441</v>
      </c>
      <c r="J61" s="2" t="s">
        <v>56</v>
      </c>
      <c r="K61" s="2" t="s">
        <v>300</v>
      </c>
    </row>
    <row r="62" spans="1:13" x14ac:dyDescent="0.25">
      <c r="A62" s="2" t="s">
        <v>494</v>
      </c>
      <c r="B62" s="2" t="s">
        <v>8</v>
      </c>
      <c r="C62" s="2" t="s">
        <v>330</v>
      </c>
      <c r="D62" s="2" t="s">
        <v>163</v>
      </c>
      <c r="E62" s="2" t="str">
        <f>Projections!A61</f>
        <v>Jahlil Okafor</v>
      </c>
      <c r="F62" s="2">
        <v>22.1103452485183</v>
      </c>
      <c r="G62" s="2">
        <v>29</v>
      </c>
      <c r="H62" s="2">
        <v>5100</v>
      </c>
      <c r="I62" s="2" t="s">
        <v>434</v>
      </c>
      <c r="J62" s="2" t="s">
        <v>296</v>
      </c>
      <c r="K62" s="2" t="s">
        <v>47</v>
      </c>
    </row>
    <row r="63" spans="1:13" x14ac:dyDescent="0.25">
      <c r="A63" s="2" t="s">
        <v>495</v>
      </c>
      <c r="B63" s="2" t="s">
        <v>3</v>
      </c>
      <c r="C63" s="2" t="s">
        <v>331</v>
      </c>
      <c r="D63" s="2" t="s">
        <v>332</v>
      </c>
      <c r="E63" s="2" t="str">
        <f>Projections!A62</f>
        <v>Dion Waiters</v>
      </c>
      <c r="F63" s="2">
        <v>19.921154315654999</v>
      </c>
      <c r="G63" s="2">
        <v>52</v>
      </c>
      <c r="H63" s="2">
        <v>5100</v>
      </c>
      <c r="I63" s="2" t="s">
        <v>432</v>
      </c>
      <c r="J63" s="2" t="s">
        <v>290</v>
      </c>
      <c r="K63" s="2" t="s">
        <v>292</v>
      </c>
    </row>
    <row r="64" spans="1:13" x14ac:dyDescent="0.25">
      <c r="A64" s="2" t="s">
        <v>496</v>
      </c>
      <c r="B64" s="2" t="s">
        <v>5</v>
      </c>
      <c r="C64" s="2" t="s">
        <v>124</v>
      </c>
      <c r="D64" s="2" t="s">
        <v>125</v>
      </c>
      <c r="E64" s="2" t="str">
        <f>Projections!A63</f>
        <v>Michael Kidd-Gilchrist</v>
      </c>
      <c r="F64" s="2">
        <v>20.529729069890202</v>
      </c>
      <c r="G64" s="2">
        <v>37</v>
      </c>
      <c r="H64" s="2">
        <v>5000</v>
      </c>
      <c r="I64" s="2" t="s">
        <v>438</v>
      </c>
      <c r="J64" s="2" t="s">
        <v>66</v>
      </c>
      <c r="K64" s="2" t="s">
        <v>51</v>
      </c>
    </row>
    <row r="65" spans="1:13" x14ac:dyDescent="0.25">
      <c r="A65" s="2" t="s">
        <v>497</v>
      </c>
      <c r="B65" s="2" t="s">
        <v>6</v>
      </c>
      <c r="C65" s="2" t="s">
        <v>132</v>
      </c>
      <c r="D65" s="2" t="s">
        <v>133</v>
      </c>
      <c r="E65" s="2" t="str">
        <f>Projections!A64</f>
        <v>Ryan Anderson</v>
      </c>
      <c r="F65" s="2">
        <v>0</v>
      </c>
      <c r="G65" s="2">
        <v>0</v>
      </c>
      <c r="H65" s="2">
        <v>5000</v>
      </c>
      <c r="I65" s="2" t="s">
        <v>441</v>
      </c>
      <c r="J65" s="2" t="s">
        <v>56</v>
      </c>
      <c r="K65" s="2" t="s">
        <v>300</v>
      </c>
      <c r="L65" s="2" t="s">
        <v>58</v>
      </c>
      <c r="M65" s="2" t="s">
        <v>134</v>
      </c>
    </row>
    <row r="66" spans="1:13" x14ac:dyDescent="0.25">
      <c r="A66" s="2" t="s">
        <v>498</v>
      </c>
      <c r="B66" s="2" t="s">
        <v>3</v>
      </c>
      <c r="C66" s="2" t="s">
        <v>333</v>
      </c>
      <c r="D66" s="2" t="s">
        <v>334</v>
      </c>
      <c r="E66" s="2" t="str">
        <f>Projections!A65</f>
        <v>Marcus Smart</v>
      </c>
      <c r="F66" s="2">
        <v>21.988636363636299</v>
      </c>
      <c r="G66" s="2">
        <v>44</v>
      </c>
      <c r="H66" s="2">
        <v>4900</v>
      </c>
      <c r="I66" s="2" t="s">
        <v>434</v>
      </c>
      <c r="J66" s="2" t="s">
        <v>296</v>
      </c>
      <c r="K66" s="2" t="s">
        <v>47</v>
      </c>
      <c r="L66" s="2" t="s">
        <v>58</v>
      </c>
      <c r="M66" s="2" t="s">
        <v>335</v>
      </c>
    </row>
    <row r="67" spans="1:13" x14ac:dyDescent="0.25">
      <c r="A67" s="2" t="s">
        <v>499</v>
      </c>
      <c r="B67" s="2" t="s">
        <v>5</v>
      </c>
      <c r="C67" s="2" t="s">
        <v>146</v>
      </c>
      <c r="D67" s="2" t="s">
        <v>147</v>
      </c>
      <c r="E67" s="2" t="str">
        <f>Projections!A66</f>
        <v>J.J. Redick</v>
      </c>
      <c r="F67" s="2">
        <v>19.567924067659199</v>
      </c>
      <c r="G67" s="2">
        <v>53</v>
      </c>
      <c r="H67" s="2">
        <v>4800</v>
      </c>
      <c r="I67" s="2" t="s">
        <v>441</v>
      </c>
      <c r="J67" s="2" t="s">
        <v>56</v>
      </c>
      <c r="K67" s="2" t="s">
        <v>300</v>
      </c>
    </row>
    <row r="68" spans="1:13" x14ac:dyDescent="0.25">
      <c r="A68" s="2" t="s">
        <v>500</v>
      </c>
      <c r="B68" s="2" t="s">
        <v>5</v>
      </c>
      <c r="C68" s="2" t="s">
        <v>135</v>
      </c>
      <c r="D68" s="2" t="s">
        <v>136</v>
      </c>
      <c r="E68" s="2" t="str">
        <f>Projections!A67</f>
        <v>Derrick Favors</v>
      </c>
      <c r="F68" s="2">
        <v>21.752830649321901</v>
      </c>
      <c r="G68" s="2">
        <v>53</v>
      </c>
      <c r="H68" s="2">
        <v>4700</v>
      </c>
      <c r="I68" s="2" t="s">
        <v>430</v>
      </c>
      <c r="J68" s="2" t="s">
        <v>44</v>
      </c>
      <c r="K68" s="2" t="s">
        <v>297</v>
      </c>
    </row>
    <row r="69" spans="1:13" x14ac:dyDescent="0.25">
      <c r="A69" s="2" t="s">
        <v>501</v>
      </c>
      <c r="B69" s="2" t="s">
        <v>3</v>
      </c>
      <c r="C69" s="2" t="s">
        <v>137</v>
      </c>
      <c r="D69" s="2" t="s">
        <v>138</v>
      </c>
      <c r="E69" s="2" t="str">
        <f>Projections!A68</f>
        <v>Dario Saric</v>
      </c>
      <c r="F69" s="2">
        <v>22.438888549804599</v>
      </c>
      <c r="G69" s="2">
        <v>18</v>
      </c>
      <c r="H69" s="2">
        <v>4700</v>
      </c>
      <c r="I69" s="2" t="s">
        <v>453</v>
      </c>
      <c r="J69" s="2" t="s">
        <v>67</v>
      </c>
      <c r="K69" s="2" t="s">
        <v>57</v>
      </c>
      <c r="L69" s="2" t="s">
        <v>58</v>
      </c>
      <c r="M69" s="2" t="s">
        <v>139</v>
      </c>
    </row>
    <row r="70" spans="1:13" x14ac:dyDescent="0.25">
      <c r="A70" s="2" t="s">
        <v>502</v>
      </c>
      <c r="B70" s="2" t="s">
        <v>6</v>
      </c>
      <c r="C70" s="2" t="s">
        <v>336</v>
      </c>
      <c r="D70" s="2" t="s">
        <v>337</v>
      </c>
      <c r="E70" s="2" t="str">
        <f>Projections!A69</f>
        <v>Andre Roberson</v>
      </c>
      <c r="F70" s="2">
        <v>18.618518970630699</v>
      </c>
      <c r="G70" s="2">
        <v>54</v>
      </c>
      <c r="H70" s="2">
        <v>4700</v>
      </c>
      <c r="I70" s="2" t="s">
        <v>430</v>
      </c>
      <c r="J70" s="2" t="s">
        <v>297</v>
      </c>
      <c r="K70" s="2" t="s">
        <v>44</v>
      </c>
    </row>
    <row r="71" spans="1:13" x14ac:dyDescent="0.25">
      <c r="A71" s="2" t="s">
        <v>503</v>
      </c>
      <c r="B71" s="2" t="s">
        <v>7</v>
      </c>
      <c r="C71" s="2" t="s">
        <v>338</v>
      </c>
      <c r="D71" s="2" t="s">
        <v>339</v>
      </c>
      <c r="E71" s="2" t="str">
        <f>Projections!A70</f>
        <v>Malcolm Brogdon</v>
      </c>
      <c r="F71" s="2">
        <v>16.005714634486601</v>
      </c>
      <c r="G71" s="2">
        <v>35</v>
      </c>
      <c r="H71" s="2">
        <v>4700</v>
      </c>
      <c r="I71" s="2" t="s">
        <v>432</v>
      </c>
      <c r="J71" s="2" t="s">
        <v>290</v>
      </c>
      <c r="K71" s="2" t="s">
        <v>292</v>
      </c>
    </row>
    <row r="72" spans="1:13" x14ac:dyDescent="0.25">
      <c r="A72" s="2" t="s">
        <v>504</v>
      </c>
      <c r="B72" s="2" t="s">
        <v>7</v>
      </c>
      <c r="C72" s="2" t="s">
        <v>141</v>
      </c>
      <c r="D72" s="2" t="s">
        <v>142</v>
      </c>
      <c r="E72" s="2" t="str">
        <f>Projections!A71</f>
        <v>Alan Williams</v>
      </c>
      <c r="F72" s="2">
        <v>20.286485826646899</v>
      </c>
      <c r="G72" s="2">
        <v>37</v>
      </c>
      <c r="H72" s="2">
        <v>4600</v>
      </c>
      <c r="I72" s="2" t="s">
        <v>441</v>
      </c>
      <c r="J72" s="2" t="s">
        <v>56</v>
      </c>
      <c r="K72" s="2" t="s">
        <v>300</v>
      </c>
    </row>
    <row r="73" spans="1:13" x14ac:dyDescent="0.25">
      <c r="A73" s="2" t="s">
        <v>505</v>
      </c>
      <c r="B73" s="2" t="s">
        <v>6</v>
      </c>
      <c r="C73" s="2" t="s">
        <v>130</v>
      </c>
      <c r="D73" s="2" t="s">
        <v>340</v>
      </c>
      <c r="E73" s="2" t="str">
        <f>Projections!A72</f>
        <v>Marreese Speights</v>
      </c>
      <c r="F73" s="2">
        <v>21.675610053829999</v>
      </c>
      <c r="G73" s="2">
        <v>41</v>
      </c>
      <c r="H73" s="2">
        <v>4500</v>
      </c>
      <c r="I73" s="2" t="s">
        <v>430</v>
      </c>
      <c r="J73" s="2" t="s">
        <v>297</v>
      </c>
      <c r="K73" s="2" t="s">
        <v>44</v>
      </c>
    </row>
    <row r="74" spans="1:13" x14ac:dyDescent="0.25">
      <c r="A74" s="2" t="s">
        <v>506</v>
      </c>
      <c r="B74" s="2" t="s">
        <v>6</v>
      </c>
      <c r="C74" s="2" t="s">
        <v>143</v>
      </c>
      <c r="D74" s="2" t="s">
        <v>68</v>
      </c>
      <c r="E74" s="2" t="str">
        <f>Projections!A73</f>
        <v>Jamal Crawford</v>
      </c>
      <c r="F74" s="2">
        <v>20.8333333333333</v>
      </c>
      <c r="G74" s="2">
        <v>54</v>
      </c>
      <c r="H74" s="2">
        <v>4500</v>
      </c>
      <c r="I74" s="2" t="s">
        <v>453</v>
      </c>
      <c r="J74" s="2" t="s">
        <v>57</v>
      </c>
      <c r="K74" s="2" t="s">
        <v>67</v>
      </c>
      <c r="L74" s="2" t="s">
        <v>88</v>
      </c>
      <c r="M74" s="2" t="s">
        <v>134</v>
      </c>
    </row>
    <row r="75" spans="1:13" x14ac:dyDescent="0.25">
      <c r="A75" s="2" t="s">
        <v>507</v>
      </c>
      <c r="B75" s="2" t="s">
        <v>7</v>
      </c>
      <c r="C75" s="2" t="s">
        <v>342</v>
      </c>
      <c r="D75" s="2" t="s">
        <v>343</v>
      </c>
      <c r="E75" s="2" t="str">
        <f>Projections!A74</f>
        <v>Raymond Felton</v>
      </c>
      <c r="F75" s="2">
        <v>17.618182095614301</v>
      </c>
      <c r="G75" s="2">
        <v>44</v>
      </c>
      <c r="H75" s="2">
        <v>4400</v>
      </c>
      <c r="I75" s="2" t="s">
        <v>428</v>
      </c>
      <c r="J75" s="2" t="s">
        <v>294</v>
      </c>
      <c r="K75" s="2" t="s">
        <v>4</v>
      </c>
      <c r="L75" s="2" t="s">
        <v>58</v>
      </c>
      <c r="M75" s="2" t="s">
        <v>344</v>
      </c>
    </row>
    <row r="76" spans="1:13" x14ac:dyDescent="0.25">
      <c r="A76" s="2" t="s">
        <v>508</v>
      </c>
      <c r="B76" s="2" t="s">
        <v>7</v>
      </c>
      <c r="C76" s="2" t="s">
        <v>144</v>
      </c>
      <c r="D76" s="2" t="s">
        <v>145</v>
      </c>
      <c r="E76" s="2" t="str">
        <f>Projections!A75</f>
        <v>C.J. Miles</v>
      </c>
      <c r="F76" s="2">
        <v>15.641304347826001</v>
      </c>
      <c r="G76" s="2">
        <v>46</v>
      </c>
      <c r="H76" s="2">
        <v>4400</v>
      </c>
      <c r="I76" s="2" t="s">
        <v>430</v>
      </c>
      <c r="J76" s="2" t="s">
        <v>44</v>
      </c>
      <c r="K76" s="2" t="s">
        <v>297</v>
      </c>
      <c r="L76" s="2" t="s">
        <v>88</v>
      </c>
      <c r="M76" s="2" t="s">
        <v>344</v>
      </c>
    </row>
    <row r="77" spans="1:13" x14ac:dyDescent="0.25">
      <c r="A77" s="2" t="s">
        <v>509</v>
      </c>
      <c r="B77" s="2" t="s">
        <v>6</v>
      </c>
      <c r="C77" s="2" t="s">
        <v>116</v>
      </c>
      <c r="D77" s="2" t="s">
        <v>345</v>
      </c>
      <c r="E77" s="2" t="str">
        <f>Projections!A76</f>
        <v>Seth Curry</v>
      </c>
      <c r="F77" s="2">
        <v>15.050000277432501</v>
      </c>
      <c r="G77" s="2">
        <v>44</v>
      </c>
      <c r="H77" s="2">
        <v>4400</v>
      </c>
      <c r="I77" s="2" t="s">
        <v>432</v>
      </c>
      <c r="J77" s="2" t="s">
        <v>290</v>
      </c>
      <c r="K77" s="2" t="s">
        <v>292</v>
      </c>
    </row>
    <row r="78" spans="1:13" x14ac:dyDescent="0.25">
      <c r="A78" s="2" t="s">
        <v>510</v>
      </c>
      <c r="B78" s="2" t="s">
        <v>8</v>
      </c>
      <c r="C78" s="2" t="s">
        <v>346</v>
      </c>
      <c r="D78" s="2" t="s">
        <v>347</v>
      </c>
      <c r="E78" s="2" t="str">
        <f>Projections!A77</f>
        <v>Marquese Chriss</v>
      </c>
      <c r="F78" s="2">
        <v>16.799999237060501</v>
      </c>
      <c r="G78" s="2">
        <v>2</v>
      </c>
      <c r="H78" s="2">
        <v>4400</v>
      </c>
      <c r="I78" s="2" t="s">
        <v>432</v>
      </c>
      <c r="J78" s="2" t="s">
        <v>290</v>
      </c>
      <c r="K78" s="2" t="s">
        <v>292</v>
      </c>
      <c r="L78" s="2" t="s">
        <v>58</v>
      </c>
      <c r="M78" s="2" t="s">
        <v>381</v>
      </c>
    </row>
    <row r="79" spans="1:13" x14ac:dyDescent="0.25">
      <c r="A79" s="2" t="s">
        <v>511</v>
      </c>
      <c r="B79" s="2" t="s">
        <v>3</v>
      </c>
      <c r="C79" s="2" t="s">
        <v>348</v>
      </c>
      <c r="D79" s="2" t="s">
        <v>349</v>
      </c>
      <c r="E79" s="2" t="str">
        <f>Projections!A78</f>
        <v>Kyle Korver</v>
      </c>
      <c r="F79" s="2">
        <v>18.196226875737</v>
      </c>
      <c r="G79" s="2">
        <v>53</v>
      </c>
      <c r="H79" s="2">
        <v>4400</v>
      </c>
      <c r="I79" s="2" t="s">
        <v>434</v>
      </c>
      <c r="J79" s="2" t="s">
        <v>296</v>
      </c>
      <c r="K79" s="2" t="s">
        <v>47</v>
      </c>
    </row>
    <row r="80" spans="1:13" x14ac:dyDescent="0.25">
      <c r="A80" s="2" t="s">
        <v>512</v>
      </c>
      <c r="B80" s="2" t="s">
        <v>5</v>
      </c>
      <c r="C80" s="2" t="s">
        <v>150</v>
      </c>
      <c r="D80" s="2" t="s">
        <v>151</v>
      </c>
      <c r="E80" s="2" t="str">
        <f>Projections!A79</f>
        <v>JaVale McGee</v>
      </c>
      <c r="F80" s="2">
        <v>17.618182095614301</v>
      </c>
      <c r="G80" s="2">
        <v>44</v>
      </c>
      <c r="H80" s="2">
        <v>4300</v>
      </c>
      <c r="I80" s="2" t="s">
        <v>430</v>
      </c>
      <c r="J80" s="2" t="s">
        <v>44</v>
      </c>
      <c r="K80" s="2" t="s">
        <v>297</v>
      </c>
    </row>
    <row r="81" spans="1:13" x14ac:dyDescent="0.25">
      <c r="A81" s="2" t="s">
        <v>513</v>
      </c>
      <c r="B81" s="2" t="s">
        <v>5</v>
      </c>
      <c r="C81" s="2" t="s">
        <v>350</v>
      </c>
      <c r="D81" s="2" t="s">
        <v>351</v>
      </c>
      <c r="E81" s="2" t="str">
        <f>Projections!A80</f>
        <v>Michael Beasley</v>
      </c>
      <c r="F81" s="2">
        <v>13.046428135463101</v>
      </c>
      <c r="G81" s="2">
        <v>28</v>
      </c>
      <c r="H81" s="2">
        <v>4300</v>
      </c>
      <c r="I81" s="2" t="s">
        <v>434</v>
      </c>
      <c r="J81" s="2" t="s">
        <v>296</v>
      </c>
      <c r="K81" s="2" t="s">
        <v>47</v>
      </c>
    </row>
    <row r="82" spans="1:13" x14ac:dyDescent="0.25">
      <c r="A82" s="2" t="s">
        <v>514</v>
      </c>
      <c r="B82" s="2" t="s">
        <v>7</v>
      </c>
      <c r="C82" s="2" t="s">
        <v>157</v>
      </c>
      <c r="D82" s="2" t="s">
        <v>158</v>
      </c>
      <c r="E82" s="2" t="str">
        <f>Projections!A81</f>
        <v>Amir Johnson</v>
      </c>
      <c r="F82" s="2">
        <v>18.121738599694201</v>
      </c>
      <c r="G82" s="2">
        <v>46</v>
      </c>
      <c r="H82" s="2">
        <v>4200</v>
      </c>
      <c r="I82" s="2" t="s">
        <v>438</v>
      </c>
      <c r="J82" s="2" t="s">
        <v>51</v>
      </c>
      <c r="K82" s="2" t="s">
        <v>66</v>
      </c>
    </row>
    <row r="83" spans="1:13" x14ac:dyDescent="0.25">
      <c r="A83" s="2" t="s">
        <v>515</v>
      </c>
      <c r="B83" s="2" t="s">
        <v>8</v>
      </c>
      <c r="C83" s="2" t="s">
        <v>152</v>
      </c>
      <c r="D83" s="2" t="s">
        <v>153</v>
      </c>
      <c r="E83" s="2" t="str">
        <f>Projections!A82</f>
        <v>Jaylen Brown</v>
      </c>
      <c r="F83" s="2">
        <v>21.119999694824202</v>
      </c>
      <c r="G83" s="2">
        <v>40</v>
      </c>
      <c r="H83" s="2">
        <v>4200</v>
      </c>
      <c r="I83" s="2" t="s">
        <v>438</v>
      </c>
      <c r="J83" s="2" t="s">
        <v>66</v>
      </c>
      <c r="K83" s="2" t="s">
        <v>51</v>
      </c>
      <c r="L83" s="2" t="s">
        <v>58</v>
      </c>
      <c r="M83" s="2" t="s">
        <v>59</v>
      </c>
    </row>
    <row r="84" spans="1:13" x14ac:dyDescent="0.25">
      <c r="A84" s="2" t="s">
        <v>516</v>
      </c>
      <c r="B84" s="2" t="s">
        <v>3</v>
      </c>
      <c r="C84" s="2" t="s">
        <v>352</v>
      </c>
      <c r="D84" s="2" t="s">
        <v>353</v>
      </c>
      <c r="E84" s="2" t="str">
        <f>Projections!A83</f>
        <v>Andre Iguodala</v>
      </c>
      <c r="F84" s="2">
        <v>17.725531395445401</v>
      </c>
      <c r="G84" s="2">
        <v>47</v>
      </c>
      <c r="H84" s="2">
        <v>4200</v>
      </c>
      <c r="I84" s="2" t="s">
        <v>432</v>
      </c>
      <c r="J84" s="2" t="s">
        <v>290</v>
      </c>
      <c r="K84" s="2" t="s">
        <v>292</v>
      </c>
    </row>
    <row r="85" spans="1:13" x14ac:dyDescent="0.25">
      <c r="A85" s="2" t="s">
        <v>517</v>
      </c>
      <c r="B85" s="2" t="s">
        <v>6</v>
      </c>
      <c r="C85" s="2" t="s">
        <v>155</v>
      </c>
      <c r="D85" s="2" t="s">
        <v>156</v>
      </c>
      <c r="E85" s="2" t="str">
        <f>Projections!A84</f>
        <v>Iman Shumpert</v>
      </c>
      <c r="F85" s="2">
        <v>17.9722222222222</v>
      </c>
      <c r="G85" s="2">
        <v>54</v>
      </c>
      <c r="H85" s="2">
        <v>4200</v>
      </c>
      <c r="I85" s="2" t="s">
        <v>428</v>
      </c>
      <c r="J85" s="2" t="s">
        <v>4</v>
      </c>
      <c r="K85" s="2" t="s">
        <v>294</v>
      </c>
    </row>
    <row r="86" spans="1:13" x14ac:dyDescent="0.25">
      <c r="A86" s="2" t="s">
        <v>518</v>
      </c>
      <c r="B86" s="2" t="s">
        <v>3</v>
      </c>
      <c r="C86" s="2" t="s">
        <v>354</v>
      </c>
      <c r="D86" s="2" t="s">
        <v>355</v>
      </c>
      <c r="E86" s="2" t="str">
        <f>Projections!A85</f>
        <v>Darrell Arthur</v>
      </c>
      <c r="F86" s="2">
        <v>10.7693880042251</v>
      </c>
      <c r="G86" s="2">
        <v>49</v>
      </c>
      <c r="H86" s="2">
        <v>4200</v>
      </c>
      <c r="I86" s="2" t="s">
        <v>428</v>
      </c>
      <c r="J86" s="2" t="s">
        <v>294</v>
      </c>
      <c r="K86" s="2" t="s">
        <v>4</v>
      </c>
    </row>
    <row r="87" spans="1:13" x14ac:dyDescent="0.25">
      <c r="A87" s="2" t="s">
        <v>519</v>
      </c>
      <c r="B87" s="2" t="s">
        <v>6</v>
      </c>
      <c r="C87" s="2" t="s">
        <v>155</v>
      </c>
      <c r="D87" s="2" t="s">
        <v>356</v>
      </c>
      <c r="E87" s="2" t="str">
        <f>Projections!A86</f>
        <v>Frank Kaminsky</v>
      </c>
      <c r="F87" s="2">
        <v>17.982352462469301</v>
      </c>
      <c r="G87" s="2">
        <v>51</v>
      </c>
      <c r="H87" s="2">
        <v>4200</v>
      </c>
      <c r="I87" s="2" t="s">
        <v>428</v>
      </c>
      <c r="J87" s="2" t="s">
        <v>294</v>
      </c>
      <c r="K87" s="2" t="s">
        <v>4</v>
      </c>
    </row>
    <row r="88" spans="1:13" x14ac:dyDescent="0.25">
      <c r="A88" s="2" t="s">
        <v>520</v>
      </c>
      <c r="B88" s="2" t="s">
        <v>6</v>
      </c>
      <c r="C88" s="2" t="s">
        <v>63</v>
      </c>
      <c r="D88" s="2" t="s">
        <v>269</v>
      </c>
      <c r="E88" s="2" t="str">
        <f>Projections!A87</f>
        <v>Alec Burks</v>
      </c>
      <c r="F88" s="2">
        <v>16.702127659574401</v>
      </c>
      <c r="G88" s="2">
        <v>47</v>
      </c>
      <c r="H88" s="2">
        <v>4200</v>
      </c>
      <c r="I88" s="2" t="s">
        <v>432</v>
      </c>
      <c r="J88" s="2" t="s">
        <v>292</v>
      </c>
      <c r="K88" s="2" t="s">
        <v>290</v>
      </c>
    </row>
    <row r="89" spans="1:13" x14ac:dyDescent="0.25">
      <c r="A89" s="2" t="s">
        <v>521</v>
      </c>
      <c r="B89" s="2" t="s">
        <v>6</v>
      </c>
      <c r="C89" s="2" t="s">
        <v>357</v>
      </c>
      <c r="D89" s="2" t="s">
        <v>358</v>
      </c>
      <c r="E89" s="2" t="str">
        <f>Projections!A88</f>
        <v>Domantas Sabonis</v>
      </c>
      <c r="F89" s="2">
        <v>11.1093026094658</v>
      </c>
      <c r="G89" s="2">
        <v>43</v>
      </c>
      <c r="H89" s="2">
        <v>4100</v>
      </c>
      <c r="I89" s="2" t="s">
        <v>432</v>
      </c>
      <c r="J89" s="2" t="s">
        <v>290</v>
      </c>
      <c r="K89" s="2" t="s">
        <v>292</v>
      </c>
    </row>
    <row r="90" spans="1:13" x14ac:dyDescent="0.25">
      <c r="A90" s="2" t="s">
        <v>522</v>
      </c>
      <c r="B90" s="2" t="s">
        <v>8</v>
      </c>
      <c r="C90" s="2" t="s">
        <v>63</v>
      </c>
      <c r="D90" s="2" t="s">
        <v>154</v>
      </c>
      <c r="E90" s="2" t="str">
        <f>Projections!A89</f>
        <v>Joffrey Lauvergne</v>
      </c>
      <c r="F90" s="2">
        <v>9.7255816792332794</v>
      </c>
      <c r="G90" s="2">
        <v>43</v>
      </c>
      <c r="H90" s="2">
        <v>4100</v>
      </c>
      <c r="I90" s="2" t="s">
        <v>453</v>
      </c>
      <c r="J90" s="2" t="s">
        <v>57</v>
      </c>
      <c r="K90" s="2" t="s">
        <v>67</v>
      </c>
    </row>
    <row r="91" spans="1:13" x14ac:dyDescent="0.25">
      <c r="A91" s="2" t="s">
        <v>523</v>
      </c>
      <c r="B91" s="2" t="s">
        <v>3</v>
      </c>
      <c r="C91" s="2" t="s">
        <v>162</v>
      </c>
      <c r="D91" s="2" t="s">
        <v>163</v>
      </c>
      <c r="E91" s="2" t="str">
        <f>Projections!A90</f>
        <v>Joe Ingles</v>
      </c>
      <c r="F91" s="2">
        <v>11.822222391764299</v>
      </c>
      <c r="G91" s="2">
        <v>36</v>
      </c>
      <c r="H91" s="2">
        <v>4100</v>
      </c>
      <c r="I91" s="2" t="s">
        <v>453</v>
      </c>
      <c r="J91" s="2" t="s">
        <v>67</v>
      </c>
      <c r="K91" s="2" t="s">
        <v>57</v>
      </c>
    </row>
    <row r="92" spans="1:13" x14ac:dyDescent="0.25">
      <c r="A92" s="2" t="s">
        <v>524</v>
      </c>
      <c r="B92" s="2" t="s">
        <v>5</v>
      </c>
      <c r="C92" s="2" t="s">
        <v>148</v>
      </c>
      <c r="D92" s="2" t="s">
        <v>149</v>
      </c>
      <c r="E92" s="2" t="str">
        <f>Projections!A91</f>
        <v>Nene Hilario</v>
      </c>
      <c r="F92" s="2">
        <v>15.4377780490451</v>
      </c>
      <c r="G92" s="2">
        <v>45</v>
      </c>
      <c r="H92" s="2">
        <v>4100</v>
      </c>
      <c r="I92" s="2" t="s">
        <v>434</v>
      </c>
      <c r="J92" s="2" t="s">
        <v>47</v>
      </c>
      <c r="K92" s="2" t="s">
        <v>296</v>
      </c>
    </row>
    <row r="93" spans="1:13" x14ac:dyDescent="0.25">
      <c r="A93" s="2" t="s">
        <v>525</v>
      </c>
      <c r="B93" s="2" t="s">
        <v>3</v>
      </c>
      <c r="C93" s="2" t="s">
        <v>359</v>
      </c>
      <c r="D93" s="2" t="s">
        <v>360</v>
      </c>
      <c r="E93" s="2" t="str">
        <f>Projections!A92</f>
        <v>Matthew Dellavedova</v>
      </c>
      <c r="F93" s="2">
        <v>14.6471695809994</v>
      </c>
      <c r="G93" s="2">
        <v>53</v>
      </c>
      <c r="H93" s="2">
        <v>4000</v>
      </c>
      <c r="I93" s="2" t="s">
        <v>434</v>
      </c>
      <c r="J93" s="2" t="s">
        <v>296</v>
      </c>
      <c r="K93" s="2" t="s">
        <v>47</v>
      </c>
    </row>
    <row r="94" spans="1:13" x14ac:dyDescent="0.25">
      <c r="A94" s="2" t="s">
        <v>526</v>
      </c>
      <c r="B94" s="2" t="s">
        <v>6</v>
      </c>
      <c r="C94" s="2" t="s">
        <v>341</v>
      </c>
      <c r="D94" s="2" t="s">
        <v>361</v>
      </c>
      <c r="E94" s="2" t="str">
        <f>Projections!A93</f>
        <v>John Henson</v>
      </c>
      <c r="F94" s="2">
        <v>14.4294122434129</v>
      </c>
      <c r="G94" s="2">
        <v>51</v>
      </c>
      <c r="H94" s="2">
        <v>4000</v>
      </c>
      <c r="I94" s="2" t="s">
        <v>432</v>
      </c>
      <c r="J94" s="2" t="s">
        <v>290</v>
      </c>
      <c r="K94" s="2" t="s">
        <v>292</v>
      </c>
    </row>
    <row r="95" spans="1:13" x14ac:dyDescent="0.25">
      <c r="A95" s="2" t="s">
        <v>527</v>
      </c>
      <c r="B95" s="2" t="s">
        <v>8</v>
      </c>
      <c r="C95" s="2" t="s">
        <v>187</v>
      </c>
      <c r="D95" s="2" t="s">
        <v>188</v>
      </c>
      <c r="E95" s="2" t="str">
        <f>Projections!A94</f>
        <v>Rodney McGruder</v>
      </c>
      <c r="F95" s="2">
        <v>15.8372551413143</v>
      </c>
      <c r="G95" s="2">
        <v>51</v>
      </c>
      <c r="H95" s="2">
        <v>4000</v>
      </c>
      <c r="I95" s="2" t="s">
        <v>441</v>
      </c>
      <c r="J95" s="2" t="s">
        <v>56</v>
      </c>
      <c r="K95" s="2" t="s">
        <v>300</v>
      </c>
    </row>
    <row r="96" spans="1:13" x14ac:dyDescent="0.25">
      <c r="A96" s="2" t="s">
        <v>528</v>
      </c>
      <c r="B96" s="2" t="s">
        <v>7</v>
      </c>
      <c r="C96" s="2" t="s">
        <v>159</v>
      </c>
      <c r="D96" s="2" t="s">
        <v>160</v>
      </c>
      <c r="E96" s="2" t="str">
        <f>Projections!A95</f>
        <v>Kelly Olynyk</v>
      </c>
      <c r="F96" s="2">
        <v>17.151999511718699</v>
      </c>
      <c r="G96" s="2">
        <v>25</v>
      </c>
      <c r="H96" s="2">
        <v>4000</v>
      </c>
      <c r="I96" s="2" t="s">
        <v>453</v>
      </c>
      <c r="J96" s="2" t="s">
        <v>67</v>
      </c>
      <c r="K96" s="2" t="s">
        <v>57</v>
      </c>
      <c r="L96" s="2" t="s">
        <v>58</v>
      </c>
      <c r="M96" s="2" t="s">
        <v>161</v>
      </c>
    </row>
    <row r="97" spans="1:13" x14ac:dyDescent="0.25">
      <c r="A97" s="2" t="s">
        <v>529</v>
      </c>
      <c r="B97" s="2" t="s">
        <v>7</v>
      </c>
      <c r="C97" s="2" t="s">
        <v>291</v>
      </c>
      <c r="D97" s="2" t="s">
        <v>362</v>
      </c>
      <c r="E97" s="2" t="str">
        <f>Projections!A96</f>
        <v>Jamal Murray</v>
      </c>
      <c r="F97" s="2">
        <v>17.519565748131701</v>
      </c>
      <c r="G97" s="2">
        <v>46</v>
      </c>
      <c r="H97" s="2">
        <v>3900</v>
      </c>
      <c r="I97" s="2" t="s">
        <v>432</v>
      </c>
      <c r="J97" s="2" t="s">
        <v>290</v>
      </c>
      <c r="K97" s="2" t="s">
        <v>292</v>
      </c>
    </row>
    <row r="98" spans="1:13" x14ac:dyDescent="0.25">
      <c r="A98" s="2" t="s">
        <v>530</v>
      </c>
      <c r="B98" s="2" t="s">
        <v>5</v>
      </c>
      <c r="C98" s="2" t="s">
        <v>363</v>
      </c>
      <c r="D98" s="2" t="s">
        <v>364</v>
      </c>
      <c r="E98" s="2" t="str">
        <f>Projections!A97</f>
        <v>Marco Belinelli</v>
      </c>
      <c r="F98" s="2">
        <v>14.094443992332099</v>
      </c>
      <c r="G98" s="2">
        <v>54</v>
      </c>
      <c r="H98" s="2">
        <v>3900</v>
      </c>
      <c r="I98" s="2" t="s">
        <v>430</v>
      </c>
      <c r="J98" s="2" t="s">
        <v>297</v>
      </c>
      <c r="K98" s="2" t="s">
        <v>44</v>
      </c>
    </row>
    <row r="99" spans="1:13" x14ac:dyDescent="0.25">
      <c r="A99" s="2" t="s">
        <v>531</v>
      </c>
      <c r="B99" s="2" t="s">
        <v>8</v>
      </c>
      <c r="C99" s="2" t="s">
        <v>174</v>
      </c>
      <c r="D99" s="2" t="s">
        <v>175</v>
      </c>
      <c r="E99" s="2" t="str">
        <f>Projections!A98</f>
        <v>C.J. Watson</v>
      </c>
      <c r="F99" s="2">
        <v>16.547916412353501</v>
      </c>
      <c r="G99" s="2">
        <v>48</v>
      </c>
      <c r="H99" s="2">
        <v>3900</v>
      </c>
      <c r="I99" s="2" t="s">
        <v>434</v>
      </c>
      <c r="J99" s="2" t="s">
        <v>47</v>
      </c>
      <c r="K99" s="2" t="s">
        <v>296</v>
      </c>
    </row>
    <row r="100" spans="1:13" x14ac:dyDescent="0.25">
      <c r="A100" s="2" t="s">
        <v>532</v>
      </c>
      <c r="B100" s="2" t="s">
        <v>8</v>
      </c>
      <c r="C100" s="2" t="s">
        <v>164</v>
      </c>
      <c r="D100" s="2" t="s">
        <v>165</v>
      </c>
      <c r="E100" s="2" t="str">
        <f>Projections!A99</f>
        <v>Lavoy Allen</v>
      </c>
      <c r="F100" s="2">
        <v>15.379591338488501</v>
      </c>
      <c r="G100" s="2">
        <v>49</v>
      </c>
      <c r="H100" s="2">
        <v>3900</v>
      </c>
      <c r="I100" s="2" t="s">
        <v>434</v>
      </c>
      <c r="J100" s="2" t="s">
        <v>47</v>
      </c>
      <c r="K100" s="2" t="s">
        <v>296</v>
      </c>
      <c r="L100" s="2" t="s">
        <v>88</v>
      </c>
      <c r="M100" s="2" t="s">
        <v>166</v>
      </c>
    </row>
    <row r="101" spans="1:13" x14ac:dyDescent="0.25">
      <c r="A101" s="2" t="s">
        <v>533</v>
      </c>
      <c r="B101" s="2" t="s">
        <v>6</v>
      </c>
      <c r="C101" s="2" t="s">
        <v>169</v>
      </c>
      <c r="D101" s="2" t="s">
        <v>170</v>
      </c>
      <c r="E101" s="2" t="str">
        <f>Projections!A100</f>
        <v>Monta Ellis</v>
      </c>
      <c r="F101" s="2">
        <v>14.983018407281801</v>
      </c>
      <c r="G101" s="2">
        <v>53</v>
      </c>
      <c r="H101" s="2">
        <v>3900</v>
      </c>
      <c r="I101" s="2" t="s">
        <v>438</v>
      </c>
      <c r="J101" s="2" t="s">
        <v>66</v>
      </c>
      <c r="K101" s="2" t="s">
        <v>51</v>
      </c>
    </row>
    <row r="102" spans="1:13" x14ac:dyDescent="0.25">
      <c r="A102" s="2" t="s">
        <v>534</v>
      </c>
      <c r="B102" s="2" t="s">
        <v>5</v>
      </c>
      <c r="C102" s="2" t="s">
        <v>365</v>
      </c>
      <c r="D102" s="2" t="s">
        <v>235</v>
      </c>
      <c r="E102" s="2" t="str">
        <f>Projections!A101</f>
        <v>Bismack Biyombo</v>
      </c>
      <c r="F102" s="2">
        <v>8.0097559486947407</v>
      </c>
      <c r="G102" s="2">
        <v>41</v>
      </c>
      <c r="H102" s="2">
        <v>3800</v>
      </c>
      <c r="I102" s="2" t="s">
        <v>432</v>
      </c>
      <c r="J102" s="2" t="s">
        <v>292</v>
      </c>
      <c r="K102" s="2" t="s">
        <v>290</v>
      </c>
    </row>
    <row r="103" spans="1:13" x14ac:dyDescent="0.25">
      <c r="A103" s="2" t="s">
        <v>535</v>
      </c>
      <c r="B103" s="2" t="s">
        <v>6</v>
      </c>
      <c r="C103" s="2" t="s">
        <v>152</v>
      </c>
      <c r="D103" s="2" t="s">
        <v>368</v>
      </c>
      <c r="E103" s="2" t="str">
        <f>Projections!A102</f>
        <v>Sam Dekker</v>
      </c>
      <c r="F103" s="2">
        <v>13.865999755859299</v>
      </c>
      <c r="G103" s="2">
        <v>50</v>
      </c>
      <c r="H103" s="2">
        <v>3800</v>
      </c>
      <c r="I103" s="2" t="s">
        <v>441</v>
      </c>
      <c r="J103" s="2" t="s">
        <v>300</v>
      </c>
      <c r="K103" s="2" t="s">
        <v>56</v>
      </c>
    </row>
    <row r="104" spans="1:13" x14ac:dyDescent="0.25">
      <c r="A104" s="2" t="s">
        <v>536</v>
      </c>
      <c r="B104" s="2" t="s">
        <v>6</v>
      </c>
      <c r="C104" s="2" t="s">
        <v>169</v>
      </c>
      <c r="D104" s="2" t="s">
        <v>176</v>
      </c>
      <c r="E104" s="2" t="str">
        <f>Projections!A103</f>
        <v>Channing Frye</v>
      </c>
      <c r="F104" s="2">
        <v>14.5462962962962</v>
      </c>
      <c r="G104" s="2">
        <v>54</v>
      </c>
      <c r="H104" s="2">
        <v>3800</v>
      </c>
      <c r="I104" s="2" t="s">
        <v>438</v>
      </c>
      <c r="J104" s="2" t="s">
        <v>66</v>
      </c>
      <c r="K104" s="2" t="s">
        <v>51</v>
      </c>
    </row>
    <row r="105" spans="1:13" x14ac:dyDescent="0.25">
      <c r="A105" s="2" t="s">
        <v>537</v>
      </c>
      <c r="B105" s="2" t="s">
        <v>6</v>
      </c>
      <c r="C105" s="2" t="s">
        <v>167</v>
      </c>
      <c r="D105" s="2" t="s">
        <v>168</v>
      </c>
      <c r="E105" s="2" t="str">
        <f>Projections!A104</f>
        <v>Gerald Henderson</v>
      </c>
      <c r="F105" s="2">
        <v>10.411538931039599</v>
      </c>
      <c r="G105" s="2">
        <v>52</v>
      </c>
      <c r="H105" s="2">
        <v>3800</v>
      </c>
      <c r="I105" s="2" t="s">
        <v>438</v>
      </c>
      <c r="J105" s="2" t="s">
        <v>51</v>
      </c>
      <c r="K105" s="2" t="s">
        <v>66</v>
      </c>
    </row>
    <row r="106" spans="1:13" x14ac:dyDescent="0.25">
      <c r="A106" s="2" t="s">
        <v>538</v>
      </c>
      <c r="B106" s="2" t="s">
        <v>7</v>
      </c>
      <c r="C106" s="2" t="s">
        <v>171</v>
      </c>
      <c r="D106" s="2" t="s">
        <v>172</v>
      </c>
      <c r="E106" s="2" t="str">
        <f>Projections!A105</f>
        <v>Nik Stauskas</v>
      </c>
      <c r="F106" s="2">
        <v>10.7191486764461</v>
      </c>
      <c r="G106" s="2">
        <v>47</v>
      </c>
      <c r="H106" s="2">
        <v>3700</v>
      </c>
      <c r="I106" s="2" t="s">
        <v>453</v>
      </c>
      <c r="J106" s="2" t="s">
        <v>67</v>
      </c>
      <c r="K106" s="2" t="s">
        <v>57</v>
      </c>
    </row>
    <row r="107" spans="1:13" x14ac:dyDescent="0.25">
      <c r="A107" s="2" t="s">
        <v>539</v>
      </c>
      <c r="B107" s="2" t="s">
        <v>5</v>
      </c>
      <c r="C107" s="2" t="s">
        <v>173</v>
      </c>
      <c r="D107" s="2" t="s">
        <v>170</v>
      </c>
      <c r="E107" s="2" t="str">
        <f>Projections!A106</f>
        <v>Joe Johnson</v>
      </c>
      <c r="F107" s="2">
        <v>16.017308161808799</v>
      </c>
      <c r="G107" s="2">
        <v>52</v>
      </c>
      <c r="H107" s="2">
        <v>3700</v>
      </c>
      <c r="I107" s="2" t="s">
        <v>438</v>
      </c>
      <c r="J107" s="2" t="s">
        <v>51</v>
      </c>
      <c r="K107" s="2" t="s">
        <v>66</v>
      </c>
    </row>
    <row r="108" spans="1:13" x14ac:dyDescent="0.25">
      <c r="A108" s="2" t="s">
        <v>540</v>
      </c>
      <c r="B108" s="2" t="s">
        <v>8</v>
      </c>
      <c r="C108" s="2" t="s">
        <v>328</v>
      </c>
      <c r="D108" s="2" t="s">
        <v>369</v>
      </c>
      <c r="E108" s="2" t="str">
        <f>Projections!A107</f>
        <v>D.J. Augustin</v>
      </c>
      <c r="F108" s="2">
        <v>17.101961023667201</v>
      </c>
      <c r="G108" s="2">
        <v>51</v>
      </c>
      <c r="H108" s="2">
        <v>3700</v>
      </c>
      <c r="I108" s="2" t="s">
        <v>430</v>
      </c>
      <c r="J108" s="2" t="s">
        <v>297</v>
      </c>
      <c r="K108" s="2" t="s">
        <v>44</v>
      </c>
    </row>
    <row r="109" spans="1:13" x14ac:dyDescent="0.25">
      <c r="A109" s="2" t="s">
        <v>541</v>
      </c>
      <c r="B109" s="2" t="s">
        <v>3</v>
      </c>
      <c r="C109" s="2" t="s">
        <v>261</v>
      </c>
      <c r="D109" s="2" t="s">
        <v>262</v>
      </c>
      <c r="E109" s="2" t="str">
        <f>Projections!A108</f>
        <v>Jeff Green</v>
      </c>
      <c r="F109" s="2">
        <v>14.253333875868</v>
      </c>
      <c r="G109" s="2">
        <v>45</v>
      </c>
      <c r="H109" s="2">
        <v>3700</v>
      </c>
      <c r="I109" s="2" t="s">
        <v>438</v>
      </c>
      <c r="J109" s="2" t="s">
        <v>66</v>
      </c>
      <c r="K109" s="2" t="s">
        <v>51</v>
      </c>
    </row>
    <row r="110" spans="1:13" x14ac:dyDescent="0.25">
      <c r="A110" s="2" t="s">
        <v>542</v>
      </c>
      <c r="B110" s="2" t="s">
        <v>8</v>
      </c>
      <c r="C110" s="2" t="s">
        <v>370</v>
      </c>
      <c r="D110" s="2" t="s">
        <v>371</v>
      </c>
      <c r="E110" s="2" t="str">
        <f>Projections!A109</f>
        <v>Thon Maker</v>
      </c>
      <c r="F110" s="2">
        <v>16.767646340762798</v>
      </c>
      <c r="G110" s="2">
        <v>34</v>
      </c>
      <c r="H110" s="2">
        <v>3700</v>
      </c>
      <c r="I110" s="2" t="s">
        <v>441</v>
      </c>
      <c r="J110" s="2" t="s">
        <v>300</v>
      </c>
      <c r="K110" s="2" t="s">
        <v>56</v>
      </c>
    </row>
    <row r="111" spans="1:13" x14ac:dyDescent="0.25">
      <c r="A111" s="2" t="s">
        <v>543</v>
      </c>
      <c r="B111" s="2" t="s">
        <v>8</v>
      </c>
      <c r="C111" s="2" t="s">
        <v>177</v>
      </c>
      <c r="D111" s="2" t="s">
        <v>178</v>
      </c>
      <c r="E111" s="2" t="str">
        <f>Projections!A110</f>
        <v>Terry Rozier</v>
      </c>
      <c r="F111" s="2">
        <v>15.429166158040299</v>
      </c>
      <c r="G111" s="2">
        <v>24</v>
      </c>
      <c r="H111" s="2">
        <v>3700</v>
      </c>
      <c r="I111" s="2" t="s">
        <v>453</v>
      </c>
      <c r="J111" s="2" t="s">
        <v>57</v>
      </c>
      <c r="K111" s="2" t="s">
        <v>67</v>
      </c>
      <c r="L111" s="2" t="s">
        <v>58</v>
      </c>
      <c r="M111" s="2" t="s">
        <v>179</v>
      </c>
    </row>
    <row r="112" spans="1:13" x14ac:dyDescent="0.25">
      <c r="A112" s="2" t="s">
        <v>544</v>
      </c>
      <c r="B112" s="2" t="s">
        <v>7</v>
      </c>
      <c r="C112" s="2" t="s">
        <v>372</v>
      </c>
      <c r="D112" s="2" t="s">
        <v>373</v>
      </c>
      <c r="E112" s="2" t="str">
        <f>Projections!A111</f>
        <v>James McAdoo</v>
      </c>
      <c r="F112" s="2">
        <v>17.7222222222222</v>
      </c>
      <c r="G112" s="2">
        <v>45</v>
      </c>
      <c r="H112" s="2">
        <v>3700</v>
      </c>
      <c r="I112" s="2" t="s">
        <v>434</v>
      </c>
      <c r="J112" s="2" t="s">
        <v>296</v>
      </c>
      <c r="K112" s="2" t="s">
        <v>47</v>
      </c>
    </row>
    <row r="113" spans="1:13" x14ac:dyDescent="0.25">
      <c r="A113" s="2" t="s">
        <v>545</v>
      </c>
      <c r="B113" s="2" t="s">
        <v>8</v>
      </c>
      <c r="C113" s="2" t="s">
        <v>374</v>
      </c>
      <c r="D113" s="2" t="s">
        <v>375</v>
      </c>
      <c r="E113" s="2" t="str">
        <f>Projections!A112</f>
        <v>Devin Harris</v>
      </c>
      <c r="F113" s="2">
        <v>6.9047619047618998</v>
      </c>
      <c r="G113" s="2">
        <v>21</v>
      </c>
      <c r="H113" s="2">
        <v>3700</v>
      </c>
      <c r="I113" s="2" t="s">
        <v>432</v>
      </c>
      <c r="J113" s="2" t="s">
        <v>290</v>
      </c>
      <c r="K113" s="2" t="s">
        <v>292</v>
      </c>
    </row>
    <row r="114" spans="1:13" x14ac:dyDescent="0.25">
      <c r="A114" s="2" t="s">
        <v>546</v>
      </c>
      <c r="B114" s="2" t="s">
        <v>3</v>
      </c>
      <c r="C114" s="2" t="s">
        <v>377</v>
      </c>
      <c r="D114" s="2" t="s">
        <v>378</v>
      </c>
      <c r="E114" s="2" t="str">
        <f>Projections!A113</f>
        <v>Cameron Payne</v>
      </c>
      <c r="F114" s="2">
        <v>0</v>
      </c>
      <c r="G114" s="2">
        <v>1</v>
      </c>
      <c r="H114" s="2">
        <v>3700</v>
      </c>
      <c r="I114" s="2" t="s">
        <v>430</v>
      </c>
      <c r="J114" s="2" t="s">
        <v>297</v>
      </c>
      <c r="K114" s="2" t="s">
        <v>44</v>
      </c>
    </row>
    <row r="115" spans="1:13" x14ac:dyDescent="0.25">
      <c r="A115" s="2" t="s">
        <v>547</v>
      </c>
      <c r="B115" s="2" t="s">
        <v>7</v>
      </c>
      <c r="C115" s="2" t="s">
        <v>379</v>
      </c>
      <c r="D115" s="2" t="s">
        <v>380</v>
      </c>
      <c r="E115" s="2" t="str">
        <f>Projections!A114</f>
        <v>Kevin Seraphin</v>
      </c>
      <c r="F115" s="2">
        <v>10.8562494913736</v>
      </c>
      <c r="G115" s="2">
        <v>48</v>
      </c>
      <c r="H115" s="2">
        <v>3600</v>
      </c>
      <c r="I115" s="2" t="s">
        <v>428</v>
      </c>
      <c r="J115" s="2" t="s">
        <v>294</v>
      </c>
      <c r="K115" s="2" t="s">
        <v>4</v>
      </c>
    </row>
    <row r="116" spans="1:13" x14ac:dyDescent="0.25">
      <c r="A116" s="2" t="s">
        <v>548</v>
      </c>
      <c r="B116" s="2" t="s">
        <v>7</v>
      </c>
      <c r="C116" s="2" t="s">
        <v>244</v>
      </c>
      <c r="D116" s="2" t="s">
        <v>245</v>
      </c>
      <c r="E116" s="2" t="str">
        <f>Projections!A115</f>
        <v>Mirza Teletovic</v>
      </c>
      <c r="F116" s="2">
        <v>18.233332881220999</v>
      </c>
      <c r="G116" s="2">
        <v>54</v>
      </c>
      <c r="H116" s="2">
        <v>3600</v>
      </c>
      <c r="I116" s="2" t="s">
        <v>453</v>
      </c>
      <c r="J116" s="2" t="s">
        <v>57</v>
      </c>
      <c r="K116" s="2" t="s">
        <v>67</v>
      </c>
    </row>
    <row r="117" spans="1:13" x14ac:dyDescent="0.25">
      <c r="A117" s="2" t="s">
        <v>549</v>
      </c>
      <c r="B117" s="2" t="s">
        <v>8</v>
      </c>
      <c r="C117" s="2" t="s">
        <v>248</v>
      </c>
      <c r="D117" s="2" t="s">
        <v>249</v>
      </c>
      <c r="E117" s="2" t="str">
        <f>Projections!A116</f>
        <v>Tony Snell</v>
      </c>
      <c r="F117" s="2">
        <v>11.016666836208699</v>
      </c>
      <c r="G117" s="2">
        <v>18</v>
      </c>
      <c r="H117" s="2">
        <v>3600</v>
      </c>
      <c r="I117" s="2" t="s">
        <v>438</v>
      </c>
      <c r="J117" s="2" t="s">
        <v>66</v>
      </c>
      <c r="K117" s="2" t="s">
        <v>51</v>
      </c>
    </row>
    <row r="118" spans="1:13" x14ac:dyDescent="0.25">
      <c r="A118" s="2" t="s">
        <v>550</v>
      </c>
      <c r="B118" s="2" t="s">
        <v>3</v>
      </c>
      <c r="C118" s="2" t="s">
        <v>254</v>
      </c>
      <c r="D118" s="2" t="s">
        <v>255</v>
      </c>
      <c r="E118" s="2" t="str">
        <f>Projections!A117</f>
        <v>Sergio Rodriguez</v>
      </c>
      <c r="F118" s="2">
        <v>13.039583841959599</v>
      </c>
      <c r="G118" s="2">
        <v>48</v>
      </c>
      <c r="H118" s="2">
        <v>3600</v>
      </c>
      <c r="I118" s="2" t="s">
        <v>438</v>
      </c>
      <c r="J118" s="2" t="s">
        <v>51</v>
      </c>
      <c r="K118" s="2" t="s">
        <v>66</v>
      </c>
    </row>
    <row r="119" spans="1:13" x14ac:dyDescent="0.25">
      <c r="A119" s="2" t="s">
        <v>551</v>
      </c>
      <c r="B119" s="2" t="s">
        <v>8</v>
      </c>
      <c r="C119" s="2" t="s">
        <v>382</v>
      </c>
      <c r="D119" s="2" t="s">
        <v>383</v>
      </c>
      <c r="E119" s="2" t="str">
        <f>Projections!A118</f>
        <v>Shaun Livingston</v>
      </c>
      <c r="F119" s="2">
        <v>16.871111382378398</v>
      </c>
      <c r="G119" s="2">
        <v>45</v>
      </c>
      <c r="H119" s="2">
        <v>3600</v>
      </c>
      <c r="I119" s="2" t="s">
        <v>432</v>
      </c>
      <c r="J119" s="2" t="s">
        <v>292</v>
      </c>
      <c r="K119" s="2" t="s">
        <v>290</v>
      </c>
    </row>
    <row r="120" spans="1:13" x14ac:dyDescent="0.25">
      <c r="A120" s="2" t="s">
        <v>552</v>
      </c>
      <c r="B120" s="2" t="s">
        <v>7</v>
      </c>
      <c r="C120" s="2" t="s">
        <v>71</v>
      </c>
      <c r="D120" s="2" t="s">
        <v>273</v>
      </c>
      <c r="E120" s="2" t="str">
        <f>Projections!A119</f>
        <v>Montrezl Harrell</v>
      </c>
      <c r="F120" s="2">
        <v>15.6396231021521</v>
      </c>
      <c r="G120" s="2">
        <v>53</v>
      </c>
      <c r="H120" s="2">
        <v>3600</v>
      </c>
      <c r="I120" s="2" t="s">
        <v>432</v>
      </c>
      <c r="J120" s="2" t="s">
        <v>292</v>
      </c>
      <c r="K120" s="2" t="s">
        <v>290</v>
      </c>
    </row>
    <row r="121" spans="1:13" x14ac:dyDescent="0.25">
      <c r="A121" s="2" t="s">
        <v>553</v>
      </c>
      <c r="B121" s="2" t="s">
        <v>5</v>
      </c>
      <c r="C121" s="2" t="s">
        <v>184</v>
      </c>
      <c r="D121" s="2" t="s">
        <v>185</v>
      </c>
      <c r="E121" s="2" t="str">
        <f>Projections!A120</f>
        <v>Dwight Powell</v>
      </c>
      <c r="F121" s="2">
        <v>14.8551719928609</v>
      </c>
      <c r="G121" s="2">
        <v>29</v>
      </c>
      <c r="H121" s="2">
        <v>3600</v>
      </c>
      <c r="I121" s="2" t="s">
        <v>441</v>
      </c>
      <c r="J121" s="2" t="s">
        <v>56</v>
      </c>
      <c r="K121" s="2" t="s">
        <v>300</v>
      </c>
      <c r="L121" s="2" t="s">
        <v>88</v>
      </c>
      <c r="M121" s="2" t="s">
        <v>186</v>
      </c>
    </row>
    <row r="122" spans="1:13" x14ac:dyDescent="0.25">
      <c r="A122" s="2" t="s">
        <v>554</v>
      </c>
      <c r="B122" s="2" t="s">
        <v>3</v>
      </c>
      <c r="C122" s="2" t="s">
        <v>256</v>
      </c>
      <c r="D122" s="2" t="s">
        <v>257</v>
      </c>
      <c r="E122" s="2" t="str">
        <f>Projections!A121</f>
        <v>Glenn Robinson</v>
      </c>
      <c r="F122" s="2">
        <v>11.058823529411701</v>
      </c>
      <c r="G122" s="2">
        <v>17</v>
      </c>
      <c r="H122" s="2">
        <v>3600</v>
      </c>
      <c r="I122" s="2" t="s">
        <v>428</v>
      </c>
      <c r="J122" s="2" t="s">
        <v>4</v>
      </c>
      <c r="K122" s="2" t="s">
        <v>294</v>
      </c>
    </row>
    <row r="123" spans="1:13" x14ac:dyDescent="0.25">
      <c r="A123" s="2" t="s">
        <v>555</v>
      </c>
      <c r="B123" s="2" t="s">
        <v>5</v>
      </c>
      <c r="C123" s="2" t="s">
        <v>189</v>
      </c>
      <c r="D123" s="2" t="s">
        <v>384</v>
      </c>
      <c r="E123" s="2" t="str">
        <f>Projections!A122</f>
        <v>Yogi Ferrell</v>
      </c>
      <c r="F123" s="2">
        <v>17.670588474647602</v>
      </c>
      <c r="G123" s="2">
        <v>51</v>
      </c>
      <c r="H123" s="2">
        <v>3600</v>
      </c>
      <c r="I123" s="2" t="s">
        <v>430</v>
      </c>
      <c r="J123" s="2" t="s">
        <v>297</v>
      </c>
      <c r="K123" s="2" t="s">
        <v>44</v>
      </c>
    </row>
    <row r="124" spans="1:13" x14ac:dyDescent="0.25">
      <c r="A124" s="2" t="s">
        <v>556</v>
      </c>
      <c r="B124" s="2" t="s">
        <v>5</v>
      </c>
      <c r="C124" s="2" t="s">
        <v>385</v>
      </c>
      <c r="D124" s="2" t="s">
        <v>386</v>
      </c>
      <c r="E124" s="2" t="str">
        <f>Projections!A123</f>
        <v>Mario Hezonja</v>
      </c>
      <c r="F124" s="2">
        <v>14.0108114706503</v>
      </c>
      <c r="G124" s="2">
        <v>37</v>
      </c>
      <c r="H124" s="2">
        <v>3600</v>
      </c>
      <c r="I124" s="2" t="s">
        <v>430</v>
      </c>
      <c r="J124" s="2" t="s">
        <v>297</v>
      </c>
      <c r="K124" s="2" t="s">
        <v>44</v>
      </c>
    </row>
    <row r="125" spans="1:13" x14ac:dyDescent="0.25">
      <c r="A125" s="2" t="s">
        <v>557</v>
      </c>
      <c r="B125" s="2" t="s">
        <v>6</v>
      </c>
      <c r="C125" s="2" t="s">
        <v>263</v>
      </c>
      <c r="D125" s="2" t="s">
        <v>387</v>
      </c>
      <c r="E125" s="2" t="str">
        <f>Projections!A124</f>
        <v>Rodney Stuckey</v>
      </c>
      <c r="F125" s="2">
        <v>3.2545453851873201</v>
      </c>
      <c r="G125" s="2">
        <v>11</v>
      </c>
      <c r="H125" s="2">
        <v>3500</v>
      </c>
      <c r="I125" s="2" t="s">
        <v>434</v>
      </c>
      <c r="J125" s="2" t="s">
        <v>296</v>
      </c>
      <c r="K125" s="2" t="s">
        <v>47</v>
      </c>
    </row>
    <row r="126" spans="1:13" x14ac:dyDescent="0.25">
      <c r="A126" s="2" t="s">
        <v>558</v>
      </c>
      <c r="B126" s="2" t="s">
        <v>8</v>
      </c>
      <c r="C126" s="2" t="s">
        <v>388</v>
      </c>
      <c r="D126" s="2" t="s">
        <v>345</v>
      </c>
      <c r="E126" s="2" t="str">
        <f>Projections!A125</f>
        <v>Kevon Looney</v>
      </c>
      <c r="F126" s="2">
        <v>4.4625000953674299</v>
      </c>
      <c r="G126" s="2">
        <v>16</v>
      </c>
      <c r="H126" s="2">
        <v>3500</v>
      </c>
      <c r="I126" s="2" t="s">
        <v>434</v>
      </c>
      <c r="J126" s="2" t="s">
        <v>296</v>
      </c>
      <c r="K126" s="2" t="s">
        <v>47</v>
      </c>
    </row>
    <row r="127" spans="1:13" x14ac:dyDescent="0.25">
      <c r="A127" s="2" t="s">
        <v>559</v>
      </c>
      <c r="B127" s="2" t="s">
        <v>8</v>
      </c>
      <c r="C127" s="2" t="s">
        <v>63</v>
      </c>
      <c r="D127" s="2" t="s">
        <v>195</v>
      </c>
      <c r="E127" s="2" t="str">
        <f>Projections!A126</f>
        <v>Juan Hernangomez</v>
      </c>
      <c r="F127" s="2">
        <v>2.3937499523162802</v>
      </c>
      <c r="G127" s="2">
        <v>16</v>
      </c>
      <c r="H127" s="2">
        <v>3500</v>
      </c>
      <c r="I127" s="2" t="s">
        <v>453</v>
      </c>
      <c r="J127" s="2" t="s">
        <v>57</v>
      </c>
      <c r="K127" s="2" t="s">
        <v>67</v>
      </c>
      <c r="L127" s="2" t="s">
        <v>58</v>
      </c>
      <c r="M127" s="2" t="s">
        <v>77</v>
      </c>
    </row>
    <row r="128" spans="1:13" x14ac:dyDescent="0.25">
      <c r="A128" s="2" t="s">
        <v>560</v>
      </c>
      <c r="B128" s="2" t="s">
        <v>5</v>
      </c>
      <c r="C128" s="2" t="s">
        <v>52</v>
      </c>
      <c r="D128" s="2" t="s">
        <v>389</v>
      </c>
      <c r="E128" s="2" t="str">
        <f>Projections!A127</f>
        <v>Jeremy Lamb</v>
      </c>
      <c r="F128" s="2">
        <v>9.4066670735677</v>
      </c>
      <c r="G128" s="2">
        <v>30</v>
      </c>
      <c r="H128" s="2">
        <v>3500</v>
      </c>
      <c r="I128" s="2" t="s">
        <v>432</v>
      </c>
      <c r="J128" s="2" t="s">
        <v>292</v>
      </c>
      <c r="K128" s="2" t="s">
        <v>290</v>
      </c>
    </row>
    <row r="129" spans="1:11" x14ac:dyDescent="0.25">
      <c r="A129" s="2" t="s">
        <v>561</v>
      </c>
      <c r="B129" s="2" t="s">
        <v>3</v>
      </c>
      <c r="C129" s="2" t="s">
        <v>205</v>
      </c>
      <c r="D129" s="2" t="s">
        <v>206</v>
      </c>
      <c r="E129" s="2" t="str">
        <f>Projections!A128</f>
        <v>Gerald Green</v>
      </c>
      <c r="F129" s="2">
        <v>8.3484848484848406</v>
      </c>
      <c r="G129" s="2">
        <v>33</v>
      </c>
      <c r="H129" s="2">
        <v>3500</v>
      </c>
      <c r="I129" s="2" t="s">
        <v>434</v>
      </c>
      <c r="J129" s="2" t="s">
        <v>47</v>
      </c>
      <c r="K129" s="2" t="s">
        <v>296</v>
      </c>
    </row>
    <row r="130" spans="1:11" x14ac:dyDescent="0.25">
      <c r="A130" s="2" t="s">
        <v>562</v>
      </c>
      <c r="B130" s="2" t="s">
        <v>8</v>
      </c>
      <c r="C130" s="2" t="s">
        <v>42</v>
      </c>
      <c r="D130" s="2" t="s">
        <v>209</v>
      </c>
      <c r="E130" s="2" t="str">
        <f>Projections!A129</f>
        <v>Ian Clark</v>
      </c>
      <c r="F130" s="2">
        <v>4.3656249046325604</v>
      </c>
      <c r="G130" s="2">
        <v>32</v>
      </c>
      <c r="H130" s="2">
        <v>3500</v>
      </c>
      <c r="I130" s="2" t="s">
        <v>434</v>
      </c>
      <c r="J130" s="2" t="s">
        <v>47</v>
      </c>
      <c r="K130" s="2" t="s">
        <v>296</v>
      </c>
    </row>
    <row r="131" spans="1:11" x14ac:dyDescent="0.25">
      <c r="A131" s="2" t="s">
        <v>563</v>
      </c>
      <c r="B131" s="2" t="s">
        <v>6</v>
      </c>
      <c r="C131" s="2" t="s">
        <v>390</v>
      </c>
      <c r="D131" s="2" t="s">
        <v>391</v>
      </c>
      <c r="E131" s="2" t="str">
        <f>Projections!A130</f>
        <v>Miles Plumlee</v>
      </c>
      <c r="F131" s="2">
        <v>8.31777750651041</v>
      </c>
      <c r="G131" s="2">
        <v>45</v>
      </c>
      <c r="H131" s="2">
        <v>3500</v>
      </c>
      <c r="I131" s="2" t="s">
        <v>441</v>
      </c>
      <c r="J131" s="2" t="s">
        <v>300</v>
      </c>
      <c r="K131" s="2" t="s">
        <v>56</v>
      </c>
    </row>
    <row r="132" spans="1:11" x14ac:dyDescent="0.25">
      <c r="A132" s="2" t="s">
        <v>564</v>
      </c>
      <c r="B132" s="2" t="s">
        <v>6</v>
      </c>
      <c r="C132" s="2" t="s">
        <v>216</v>
      </c>
      <c r="D132" s="2" t="s">
        <v>217</v>
      </c>
      <c r="E132" s="2" t="str">
        <f>Projections!A131</f>
        <v>Boris Diaw</v>
      </c>
      <c r="F132" s="2">
        <v>3.9424244273792599</v>
      </c>
      <c r="G132" s="2">
        <v>33</v>
      </c>
      <c r="H132" s="2">
        <v>3500</v>
      </c>
      <c r="I132" s="2" t="s">
        <v>453</v>
      </c>
      <c r="J132" s="2" t="s">
        <v>57</v>
      </c>
      <c r="K132" s="2" t="s">
        <v>67</v>
      </c>
    </row>
    <row r="133" spans="1:11" x14ac:dyDescent="0.25">
      <c r="A133" s="2" t="s">
        <v>565</v>
      </c>
      <c r="B133" s="2" t="s">
        <v>5</v>
      </c>
      <c r="C133" s="2" t="s">
        <v>392</v>
      </c>
      <c r="D133" s="2" t="s">
        <v>393</v>
      </c>
      <c r="E133" s="2" t="str">
        <f>Projections!A132</f>
        <v>Okaro White</v>
      </c>
      <c r="F133" s="2">
        <v>6.0153843806340097</v>
      </c>
      <c r="G133" s="2">
        <v>26</v>
      </c>
      <c r="H133" s="2">
        <v>3500</v>
      </c>
      <c r="I133" s="2" t="s">
        <v>428</v>
      </c>
      <c r="J133" s="2" t="s">
        <v>294</v>
      </c>
      <c r="K133" s="2" t="s">
        <v>4</v>
      </c>
    </row>
    <row r="134" spans="1:11" x14ac:dyDescent="0.25">
      <c r="A134" s="2" t="s">
        <v>566</v>
      </c>
      <c r="B134" s="2" t="s">
        <v>7</v>
      </c>
      <c r="C134" s="2" t="s">
        <v>218</v>
      </c>
      <c r="D134" s="2" t="s">
        <v>123</v>
      </c>
      <c r="E134" s="2" t="str">
        <f>Projections!A133</f>
        <v>Wayne Ellington</v>
      </c>
      <c r="F134" s="2">
        <v>9.9393939393939394</v>
      </c>
      <c r="G134" s="2">
        <v>33</v>
      </c>
      <c r="H134" s="2">
        <v>3500</v>
      </c>
      <c r="I134" s="2" t="s">
        <v>438</v>
      </c>
      <c r="J134" s="2" t="s">
        <v>51</v>
      </c>
      <c r="K134" s="2" t="s">
        <v>66</v>
      </c>
    </row>
    <row r="135" spans="1:11" x14ac:dyDescent="0.25">
      <c r="A135" s="2" t="s">
        <v>567</v>
      </c>
      <c r="B135" s="2" t="s">
        <v>5</v>
      </c>
      <c r="C135" s="2" t="s">
        <v>219</v>
      </c>
      <c r="D135" s="2" t="s">
        <v>220</v>
      </c>
      <c r="E135" s="2" t="str">
        <f>Projections!A134</f>
        <v>DeAndre Liggins</v>
      </c>
      <c r="F135" s="2">
        <v>14.1537034776475</v>
      </c>
      <c r="G135" s="2">
        <v>54</v>
      </c>
      <c r="H135" s="2">
        <v>3500</v>
      </c>
      <c r="I135" s="2" t="s">
        <v>438</v>
      </c>
      <c r="J135" s="2" t="s">
        <v>66</v>
      </c>
      <c r="K135" s="2" t="s">
        <v>51</v>
      </c>
    </row>
    <row r="136" spans="1:11" x14ac:dyDescent="0.25">
      <c r="A136" s="2" t="s">
        <v>568</v>
      </c>
      <c r="B136" s="2" t="s">
        <v>3</v>
      </c>
      <c r="C136" s="2" t="s">
        <v>218</v>
      </c>
      <c r="D136" s="2" t="s">
        <v>394</v>
      </c>
      <c r="E136" s="2" t="str">
        <f>Projections!A135</f>
        <v>Corey Brewer</v>
      </c>
      <c r="F136" s="2">
        <v>5.7529413559857501</v>
      </c>
      <c r="G136" s="2">
        <v>34</v>
      </c>
      <c r="H136" s="2">
        <v>3500</v>
      </c>
      <c r="I136" s="2" t="s">
        <v>430</v>
      </c>
      <c r="J136" s="2" t="s">
        <v>297</v>
      </c>
      <c r="K136" s="2" t="s">
        <v>44</v>
      </c>
    </row>
    <row r="137" spans="1:11" x14ac:dyDescent="0.25">
      <c r="A137" s="2" t="s">
        <v>569</v>
      </c>
      <c r="B137" s="2" t="s">
        <v>5</v>
      </c>
      <c r="C137" s="2" t="s">
        <v>221</v>
      </c>
      <c r="D137" s="2" t="s">
        <v>223</v>
      </c>
      <c r="E137" s="2" t="str">
        <f>Projections!A136</f>
        <v>Salah Mejri</v>
      </c>
      <c r="F137" s="2">
        <v>5.12666676839192</v>
      </c>
      <c r="G137" s="2">
        <v>15</v>
      </c>
      <c r="H137" s="2">
        <v>3500</v>
      </c>
      <c r="I137" s="2" t="s">
        <v>438</v>
      </c>
      <c r="J137" s="2" t="s">
        <v>51</v>
      </c>
      <c r="K137" s="2" t="s">
        <v>66</v>
      </c>
    </row>
    <row r="138" spans="1:11" x14ac:dyDescent="0.25">
      <c r="A138" s="2" t="s">
        <v>570</v>
      </c>
      <c r="B138" s="2" t="s">
        <v>3</v>
      </c>
      <c r="C138" s="2" t="s">
        <v>224</v>
      </c>
      <c r="D138" s="2" t="s">
        <v>225</v>
      </c>
      <c r="E138" s="2" t="str">
        <f>Projections!A137</f>
        <v>Al Jefferson</v>
      </c>
      <c r="F138" s="2">
        <v>8.7184207313939108</v>
      </c>
      <c r="G138" s="2">
        <v>38</v>
      </c>
      <c r="H138" s="2">
        <v>3500</v>
      </c>
      <c r="I138" s="2" t="s">
        <v>428</v>
      </c>
      <c r="J138" s="2" t="s">
        <v>4</v>
      </c>
      <c r="K138" s="2" t="s">
        <v>294</v>
      </c>
    </row>
    <row r="139" spans="1:11" x14ac:dyDescent="0.25">
      <c r="A139" s="2" t="s">
        <v>571</v>
      </c>
      <c r="B139" s="2" t="s">
        <v>6</v>
      </c>
      <c r="C139" s="2" t="s">
        <v>395</v>
      </c>
      <c r="D139" s="2" t="s">
        <v>396</v>
      </c>
      <c r="E139" s="2" t="str">
        <f>Projections!A138</f>
        <v>Dorian Finney-Smith</v>
      </c>
      <c r="F139" s="2">
        <v>2.1666666666666599</v>
      </c>
      <c r="G139" s="2">
        <v>21</v>
      </c>
      <c r="H139" s="2">
        <v>3500</v>
      </c>
      <c r="I139" s="2" t="s">
        <v>432</v>
      </c>
      <c r="J139" s="2" t="s">
        <v>292</v>
      </c>
      <c r="K139" s="2" t="s">
        <v>290</v>
      </c>
    </row>
    <row r="140" spans="1:11" x14ac:dyDescent="0.25">
      <c r="A140" s="2" t="s">
        <v>572</v>
      </c>
      <c r="B140" s="2" t="s">
        <v>8</v>
      </c>
      <c r="C140" s="2" t="s">
        <v>229</v>
      </c>
      <c r="D140" s="2" t="s">
        <v>230</v>
      </c>
      <c r="E140" s="2" t="str">
        <f>Projections!A139</f>
        <v>Luke Babbitt</v>
      </c>
      <c r="F140" s="2">
        <v>8.9750003814697195</v>
      </c>
      <c r="G140" s="2">
        <v>32</v>
      </c>
      <c r="H140" s="2">
        <v>3500</v>
      </c>
      <c r="I140" s="2" t="s">
        <v>438</v>
      </c>
      <c r="J140" s="2" t="s">
        <v>51</v>
      </c>
      <c r="K140" s="2" t="s">
        <v>66</v>
      </c>
    </row>
    <row r="141" spans="1:11" x14ac:dyDescent="0.25">
      <c r="A141" s="2" t="s">
        <v>573</v>
      </c>
      <c r="B141" s="2" t="s">
        <v>7</v>
      </c>
      <c r="C141" s="2" t="s">
        <v>60</v>
      </c>
      <c r="D141" s="2" t="s">
        <v>209</v>
      </c>
      <c r="E141" s="2" t="str">
        <f>Projections!A140</f>
        <v>Anthony Morrow</v>
      </c>
      <c r="F141" s="2">
        <v>2.6399999618530199</v>
      </c>
      <c r="G141" s="2">
        <v>5</v>
      </c>
      <c r="H141" s="2">
        <v>3500</v>
      </c>
      <c r="I141" s="2" t="s">
        <v>428</v>
      </c>
      <c r="J141" s="2" t="s">
        <v>294</v>
      </c>
      <c r="K141" s="2" t="s">
        <v>4</v>
      </c>
    </row>
    <row r="142" spans="1:11" x14ac:dyDescent="0.25">
      <c r="A142" s="2" t="s">
        <v>574</v>
      </c>
      <c r="B142" s="2" t="s">
        <v>7</v>
      </c>
      <c r="C142" s="2" t="s">
        <v>397</v>
      </c>
      <c r="D142" s="2" t="s">
        <v>87</v>
      </c>
      <c r="E142" s="2" t="str">
        <f>Projections!A141</f>
        <v>Kay Felder</v>
      </c>
      <c r="F142" s="2">
        <v>8.3952382405598893</v>
      </c>
      <c r="G142" s="2">
        <v>21</v>
      </c>
      <c r="H142" s="2">
        <v>3500</v>
      </c>
      <c r="I142" s="2" t="s">
        <v>430</v>
      </c>
      <c r="J142" s="2" t="s">
        <v>297</v>
      </c>
      <c r="K142" s="2" t="s">
        <v>44</v>
      </c>
    </row>
    <row r="143" spans="1:11" x14ac:dyDescent="0.25">
      <c r="A143" s="2" t="s">
        <v>575</v>
      </c>
      <c r="B143" s="2" t="s">
        <v>7</v>
      </c>
      <c r="C143" s="2" t="s">
        <v>233</v>
      </c>
      <c r="D143" s="2" t="s">
        <v>234</v>
      </c>
      <c r="E143" s="2" t="str">
        <f>Projections!A142</f>
        <v>Jonas Jerebko</v>
      </c>
      <c r="F143" s="2">
        <v>6.5500001907348597</v>
      </c>
      <c r="G143" s="2">
        <v>2</v>
      </c>
      <c r="H143" s="2">
        <v>3500</v>
      </c>
      <c r="I143" s="2" t="s">
        <v>430</v>
      </c>
      <c r="J143" s="2" t="s">
        <v>44</v>
      </c>
      <c r="K143" s="2" t="s">
        <v>297</v>
      </c>
    </row>
    <row r="144" spans="1:11" x14ac:dyDescent="0.25">
      <c r="A144" s="2" t="s">
        <v>576</v>
      </c>
      <c r="B144" s="2" t="s">
        <v>8</v>
      </c>
      <c r="C144" s="2" t="s">
        <v>236</v>
      </c>
      <c r="D144" s="2" t="s">
        <v>237</v>
      </c>
      <c r="E144" s="2" t="str">
        <f>Projections!A143</f>
        <v>Jusuf Nurkic</v>
      </c>
      <c r="F144" s="2">
        <v>6.5894735235916899</v>
      </c>
      <c r="G144" s="2">
        <v>38</v>
      </c>
      <c r="H144" s="2">
        <v>3500</v>
      </c>
      <c r="I144" s="2" t="s">
        <v>453</v>
      </c>
      <c r="J144" s="2" t="s">
        <v>57</v>
      </c>
      <c r="K144" s="2" t="s">
        <v>67</v>
      </c>
    </row>
    <row r="145" spans="1:13" x14ac:dyDescent="0.25">
      <c r="A145" s="2" t="s">
        <v>577</v>
      </c>
      <c r="B145" s="2" t="s">
        <v>5</v>
      </c>
      <c r="C145" s="2" t="s">
        <v>54</v>
      </c>
      <c r="D145" s="2" t="s">
        <v>238</v>
      </c>
      <c r="E145" s="2" t="str">
        <f>Projections!A144</f>
        <v>Leandro Barbosa</v>
      </c>
      <c r="F145" s="2">
        <v>2.7222222222222201</v>
      </c>
      <c r="G145" s="2">
        <v>9</v>
      </c>
      <c r="H145" s="2">
        <v>3500</v>
      </c>
      <c r="I145" s="2" t="s">
        <v>438</v>
      </c>
      <c r="J145" s="2" t="s">
        <v>66</v>
      </c>
      <c r="K145" s="2" t="s">
        <v>51</v>
      </c>
    </row>
    <row r="146" spans="1:13" x14ac:dyDescent="0.25">
      <c r="A146" s="2" t="s">
        <v>578</v>
      </c>
      <c r="B146" s="2" t="s">
        <v>5</v>
      </c>
      <c r="C146" s="2" t="s">
        <v>398</v>
      </c>
      <c r="D146" s="2" t="s">
        <v>399</v>
      </c>
      <c r="E146" s="2" t="str">
        <f>Projections!A145</f>
        <v>Trey Lyles</v>
      </c>
      <c r="F146" s="2">
        <v>7.2078945762232696</v>
      </c>
      <c r="G146" s="2">
        <v>38</v>
      </c>
      <c r="H146" s="2">
        <v>3500</v>
      </c>
      <c r="I146" s="2" t="s">
        <v>430</v>
      </c>
      <c r="J146" s="2" t="s">
        <v>297</v>
      </c>
      <c r="K146" s="2" t="s">
        <v>44</v>
      </c>
      <c r="L146" s="2" t="s">
        <v>58</v>
      </c>
      <c r="M146" s="2" t="s">
        <v>166</v>
      </c>
    </row>
    <row r="147" spans="1:13" x14ac:dyDescent="0.25">
      <c r="A147" s="2" t="s">
        <v>579</v>
      </c>
      <c r="B147" s="2" t="s">
        <v>5</v>
      </c>
      <c r="C147" s="2" t="s">
        <v>124</v>
      </c>
      <c r="D147" s="2" t="s">
        <v>87</v>
      </c>
      <c r="E147" s="2" t="str">
        <f>Projections!A146</f>
        <v>Jared Dudley</v>
      </c>
      <c r="F147" s="2">
        <v>10.8884617732121</v>
      </c>
      <c r="G147" s="2">
        <v>26</v>
      </c>
      <c r="H147" s="2">
        <v>3500</v>
      </c>
      <c r="I147" s="2" t="s">
        <v>434</v>
      </c>
      <c r="J147" s="2" t="s">
        <v>47</v>
      </c>
      <c r="K147" s="2" t="s">
        <v>296</v>
      </c>
    </row>
    <row r="148" spans="1:13" x14ac:dyDescent="0.25">
      <c r="A148" s="2" t="s">
        <v>580</v>
      </c>
      <c r="B148" s="2" t="s">
        <v>5</v>
      </c>
      <c r="C148" s="2" t="s">
        <v>400</v>
      </c>
      <c r="D148" s="2" t="s">
        <v>401</v>
      </c>
      <c r="E148" s="2" t="str">
        <f>Projections!A147</f>
        <v>Jerami Grant</v>
      </c>
      <c r="F148" s="2">
        <v>5.7814817075376101</v>
      </c>
      <c r="G148" s="2">
        <v>27</v>
      </c>
      <c r="H148" s="2">
        <v>3500</v>
      </c>
      <c r="I148" s="2" t="s">
        <v>432</v>
      </c>
      <c r="J148" s="2" t="s">
        <v>290</v>
      </c>
      <c r="K148" s="2" t="s">
        <v>292</v>
      </c>
    </row>
    <row r="149" spans="1:13" x14ac:dyDescent="0.25">
      <c r="A149" s="2" t="s">
        <v>581</v>
      </c>
      <c r="B149" s="2" t="s">
        <v>6</v>
      </c>
      <c r="C149" s="2" t="s">
        <v>402</v>
      </c>
      <c r="D149" s="2" t="s">
        <v>403</v>
      </c>
      <c r="E149" s="2" t="str">
        <f>Projections!A148</f>
        <v>Dante Exum</v>
      </c>
      <c r="F149" s="2">
        <v>1.07500004768371</v>
      </c>
      <c r="G149" s="2">
        <v>8</v>
      </c>
      <c r="H149" s="2">
        <v>3500</v>
      </c>
      <c r="I149" s="2" t="s">
        <v>432</v>
      </c>
      <c r="J149" s="2" t="s">
        <v>290</v>
      </c>
      <c r="K149" s="2" t="s">
        <v>292</v>
      </c>
    </row>
    <row r="150" spans="1:13" x14ac:dyDescent="0.25">
      <c r="A150" s="2" t="s">
        <v>582</v>
      </c>
      <c r="B150" s="2" t="s">
        <v>5</v>
      </c>
      <c r="C150" s="2" t="s">
        <v>404</v>
      </c>
      <c r="D150" s="2" t="s">
        <v>319</v>
      </c>
      <c r="E150" s="2" t="str">
        <f>Projections!A149</f>
        <v>Derrick Williams</v>
      </c>
      <c r="F150" s="2">
        <v>8.6891891891891895</v>
      </c>
      <c r="G150" s="2">
        <v>37</v>
      </c>
      <c r="H150" s="2">
        <v>3500</v>
      </c>
      <c r="I150" s="2" t="s">
        <v>434</v>
      </c>
      <c r="J150" s="2" t="s">
        <v>296</v>
      </c>
      <c r="K150" s="2" t="s">
        <v>47</v>
      </c>
    </row>
    <row r="151" spans="1:13" x14ac:dyDescent="0.25">
      <c r="A151" s="2" t="s">
        <v>583</v>
      </c>
      <c r="B151" s="2" t="s">
        <v>8</v>
      </c>
      <c r="C151" s="2" t="s">
        <v>242</v>
      </c>
      <c r="D151" s="2" t="s">
        <v>243</v>
      </c>
      <c r="E151" s="2" t="str">
        <f>Projections!A150</f>
        <v>Jason Terry</v>
      </c>
      <c r="F151" s="2">
        <v>6.6324996948242099</v>
      </c>
      <c r="G151" s="2">
        <v>40</v>
      </c>
      <c r="H151" s="2">
        <v>3500</v>
      </c>
      <c r="I151" s="2" t="s">
        <v>441</v>
      </c>
      <c r="J151" s="2" t="s">
        <v>56</v>
      </c>
      <c r="K151" s="2" t="s">
        <v>300</v>
      </c>
    </row>
    <row r="152" spans="1:13" x14ac:dyDescent="0.25">
      <c r="A152" s="2" t="s">
        <v>584</v>
      </c>
      <c r="B152" s="2" t="s">
        <v>8</v>
      </c>
      <c r="C152" s="2" t="s">
        <v>246</v>
      </c>
      <c r="D152" s="2" t="s">
        <v>247</v>
      </c>
      <c r="E152" s="2" t="str">
        <f>Projections!A151</f>
        <v>Patrick McCaw</v>
      </c>
      <c r="F152" s="2">
        <v>4.7357145036969799</v>
      </c>
      <c r="G152" s="2">
        <v>28</v>
      </c>
      <c r="H152" s="2">
        <v>3500</v>
      </c>
      <c r="I152" s="2" t="s">
        <v>430</v>
      </c>
      <c r="J152" s="2" t="s">
        <v>44</v>
      </c>
      <c r="K152" s="2" t="s">
        <v>297</v>
      </c>
      <c r="L152" s="2" t="s">
        <v>88</v>
      </c>
      <c r="M152" s="2" t="s">
        <v>251</v>
      </c>
    </row>
    <row r="153" spans="1:13" x14ac:dyDescent="0.25">
      <c r="A153" s="2" t="s">
        <v>585</v>
      </c>
      <c r="B153" s="2" t="s">
        <v>6</v>
      </c>
      <c r="C153" s="2" t="s">
        <v>42</v>
      </c>
      <c r="D153" s="2" t="s">
        <v>250</v>
      </c>
      <c r="E153" s="2" t="str">
        <f>Projections!A152</f>
        <v>Brian Roberts</v>
      </c>
      <c r="F153" s="2">
        <v>3.2999999523162802</v>
      </c>
      <c r="G153" s="2">
        <v>16</v>
      </c>
      <c r="H153" s="2">
        <v>3500</v>
      </c>
      <c r="I153" s="2" t="s">
        <v>438</v>
      </c>
      <c r="J153" s="2" t="s">
        <v>51</v>
      </c>
      <c r="K153" s="2" t="s">
        <v>66</v>
      </c>
    </row>
    <row r="154" spans="1:13" x14ac:dyDescent="0.25">
      <c r="A154" s="2" t="s">
        <v>586</v>
      </c>
      <c r="B154" s="2" t="s">
        <v>6</v>
      </c>
      <c r="C154" s="2" t="s">
        <v>258</v>
      </c>
      <c r="D154" s="2" t="s">
        <v>136</v>
      </c>
      <c r="E154" s="2" t="str">
        <f>Projections!A153</f>
        <v>Spencer Hawes</v>
      </c>
      <c r="F154" s="2">
        <v>12.2395833333333</v>
      </c>
      <c r="G154" s="2">
        <v>48</v>
      </c>
      <c r="H154" s="2">
        <v>3500</v>
      </c>
      <c r="I154" s="2" t="s">
        <v>453</v>
      </c>
      <c r="J154" s="2" t="s">
        <v>67</v>
      </c>
      <c r="K154" s="2" t="s">
        <v>57</v>
      </c>
    </row>
    <row r="155" spans="1:13" x14ac:dyDescent="0.25">
      <c r="A155" s="2" t="s">
        <v>587</v>
      </c>
      <c r="B155" s="2" t="s">
        <v>3</v>
      </c>
      <c r="C155" s="2" t="s">
        <v>218</v>
      </c>
      <c r="D155" s="2" t="s">
        <v>259</v>
      </c>
      <c r="E155" s="2" t="str">
        <f>Projections!A154</f>
        <v>Willie Reed</v>
      </c>
      <c r="F155" s="2">
        <v>3.7899998982747301</v>
      </c>
      <c r="G155" s="2">
        <v>30</v>
      </c>
      <c r="H155" s="2">
        <v>3500</v>
      </c>
      <c r="I155" s="2" t="s">
        <v>430</v>
      </c>
      <c r="J155" s="2" t="s">
        <v>44</v>
      </c>
      <c r="K155" s="2" t="s">
        <v>297</v>
      </c>
    </row>
    <row r="156" spans="1:13" x14ac:dyDescent="0.25">
      <c r="A156" s="2" t="s">
        <v>588</v>
      </c>
      <c r="B156" s="2" t="s">
        <v>6</v>
      </c>
      <c r="C156" s="2" t="s">
        <v>174</v>
      </c>
      <c r="D156" s="2" t="s">
        <v>260</v>
      </c>
      <c r="E156" s="2" t="str">
        <f>Projections!A155</f>
        <v>Richard Jefferson</v>
      </c>
      <c r="F156" s="2">
        <v>3.6076924250675999</v>
      </c>
      <c r="G156" s="2">
        <v>26</v>
      </c>
      <c r="H156" s="2">
        <v>3500</v>
      </c>
      <c r="I156" s="2" t="s">
        <v>428</v>
      </c>
      <c r="J156" s="2" t="s">
        <v>4</v>
      </c>
      <c r="K156" s="2" t="s">
        <v>294</v>
      </c>
    </row>
    <row r="157" spans="1:13" x14ac:dyDescent="0.25">
      <c r="A157" s="2" t="s">
        <v>589</v>
      </c>
      <c r="B157" s="2" t="s">
        <v>5</v>
      </c>
      <c r="C157" s="2" t="s">
        <v>405</v>
      </c>
      <c r="D157" s="2" t="s">
        <v>406</v>
      </c>
      <c r="E157" s="2" t="str">
        <f>Projections!A156</f>
        <v>Wesley Johnson</v>
      </c>
      <c r="F157" s="2">
        <v>7.6724998474120998</v>
      </c>
      <c r="G157" s="2">
        <v>40</v>
      </c>
      <c r="H157" s="2">
        <v>3500</v>
      </c>
      <c r="I157" s="2" t="s">
        <v>428</v>
      </c>
      <c r="J157" s="2" t="s">
        <v>294</v>
      </c>
      <c r="K157" s="2" t="s">
        <v>4</v>
      </c>
    </row>
    <row r="158" spans="1:13" x14ac:dyDescent="0.25">
      <c r="A158" s="2" t="s">
        <v>590</v>
      </c>
      <c r="B158" s="2" t="s">
        <v>8</v>
      </c>
      <c r="C158" s="2" t="s">
        <v>264</v>
      </c>
      <c r="D158" s="2" t="s">
        <v>265</v>
      </c>
      <c r="E158" s="2" t="str">
        <f>Projections!A157</f>
        <v>Luc Richard Mbah a Moute</v>
      </c>
      <c r="F158" s="2">
        <v>7.6465113440225201</v>
      </c>
      <c r="G158" s="2">
        <v>43</v>
      </c>
      <c r="H158" s="2">
        <v>3500</v>
      </c>
      <c r="I158" s="2" t="s">
        <v>434</v>
      </c>
      <c r="J158" s="2" t="s">
        <v>47</v>
      </c>
      <c r="K158" s="2" t="s">
        <v>296</v>
      </c>
      <c r="L158" s="2" t="s">
        <v>88</v>
      </c>
      <c r="M158" s="2" t="s">
        <v>591</v>
      </c>
    </row>
    <row r="159" spans="1:13" x14ac:dyDescent="0.25">
      <c r="A159" s="2" t="s">
        <v>592</v>
      </c>
      <c r="B159" s="2" t="s">
        <v>8</v>
      </c>
      <c r="C159" s="2" t="s">
        <v>229</v>
      </c>
      <c r="D159" s="2" t="s">
        <v>268</v>
      </c>
      <c r="E159" s="2" t="str">
        <f>Projections!A158</f>
        <v>Brandon Bass</v>
      </c>
      <c r="F159" s="2">
        <v>15.814582824706999</v>
      </c>
      <c r="G159" s="2">
        <v>48</v>
      </c>
      <c r="H159" s="2">
        <v>3500</v>
      </c>
      <c r="I159" s="2" t="s">
        <v>441</v>
      </c>
      <c r="J159" s="2" t="s">
        <v>56</v>
      </c>
      <c r="K159" s="2" t="s">
        <v>300</v>
      </c>
    </row>
    <row r="160" spans="1:13" x14ac:dyDescent="0.25">
      <c r="A160" s="2" t="s">
        <v>593</v>
      </c>
      <c r="B160" s="2" t="s">
        <v>7</v>
      </c>
      <c r="C160" s="2" t="s">
        <v>270</v>
      </c>
      <c r="D160" s="2" t="s">
        <v>271</v>
      </c>
      <c r="E160" s="2" t="str">
        <f>Projections!A159</f>
        <v>Justin Anderson</v>
      </c>
      <c r="F160" s="2">
        <v>3.52941176470588</v>
      </c>
      <c r="G160" s="2">
        <v>17</v>
      </c>
      <c r="H160" s="2">
        <v>3500</v>
      </c>
      <c r="I160" s="2" t="s">
        <v>453</v>
      </c>
      <c r="J160" s="2" t="s">
        <v>67</v>
      </c>
      <c r="K160" s="2" t="s">
        <v>57</v>
      </c>
    </row>
    <row r="161" spans="1:13" x14ac:dyDescent="0.25">
      <c r="A161" s="2" t="s">
        <v>594</v>
      </c>
      <c r="B161" s="2" t="s">
        <v>5</v>
      </c>
      <c r="C161" s="2" t="s">
        <v>274</v>
      </c>
      <c r="D161" s="2" t="s">
        <v>275</v>
      </c>
      <c r="E161" s="2">
        <f>Projections!A160</f>
        <v>0</v>
      </c>
      <c r="F161" s="2">
        <v>10.551923311673599</v>
      </c>
      <c r="G161" s="2">
        <v>52</v>
      </c>
      <c r="H161" s="2">
        <v>3500</v>
      </c>
      <c r="I161" s="2" t="s">
        <v>438</v>
      </c>
      <c r="J161" s="2" t="s">
        <v>51</v>
      </c>
      <c r="K161" s="2" t="s">
        <v>66</v>
      </c>
    </row>
    <row r="162" spans="1:13" x14ac:dyDescent="0.25">
      <c r="A162" s="2" t="s">
        <v>595</v>
      </c>
      <c r="B162" s="2" t="s">
        <v>6</v>
      </c>
      <c r="C162" s="2" t="s">
        <v>276</v>
      </c>
      <c r="D162" s="2" t="s">
        <v>277</v>
      </c>
      <c r="E162" s="2">
        <f>Projections!A161</f>
        <v>0</v>
      </c>
      <c r="F162" s="2">
        <v>14.775000435965399</v>
      </c>
      <c r="G162" s="2">
        <v>56</v>
      </c>
      <c r="H162" s="2">
        <v>3500</v>
      </c>
      <c r="I162" s="2" t="s">
        <v>430</v>
      </c>
      <c r="J162" s="2" t="s">
        <v>44</v>
      </c>
      <c r="K162" s="2" t="s">
        <v>297</v>
      </c>
    </row>
    <row r="163" spans="1:13" x14ac:dyDescent="0.25">
      <c r="A163" s="2" t="s">
        <v>596</v>
      </c>
      <c r="B163" s="2" t="s">
        <v>6</v>
      </c>
      <c r="C163" s="2" t="s">
        <v>407</v>
      </c>
      <c r="D163" s="2" t="s">
        <v>408</v>
      </c>
      <c r="E163" s="2">
        <f>Projections!A162</f>
        <v>0</v>
      </c>
      <c r="F163" s="2">
        <v>12.6058828316482</v>
      </c>
      <c r="G163" s="2">
        <v>51</v>
      </c>
      <c r="H163" s="2">
        <v>3500</v>
      </c>
      <c r="I163" s="2" t="s">
        <v>432</v>
      </c>
      <c r="J163" s="2" t="s">
        <v>292</v>
      </c>
      <c r="K163" s="2" t="s">
        <v>290</v>
      </c>
    </row>
    <row r="164" spans="1:13" x14ac:dyDescent="0.25">
      <c r="A164" s="2" t="s">
        <v>597</v>
      </c>
      <c r="B164" s="2" t="s">
        <v>3</v>
      </c>
      <c r="C164" s="2" t="s">
        <v>280</v>
      </c>
      <c r="D164" s="2" t="s">
        <v>281</v>
      </c>
      <c r="E164" s="2">
        <f>Projections!A163</f>
        <v>0</v>
      </c>
      <c r="F164" s="2">
        <v>14.848147922092</v>
      </c>
      <c r="G164" s="2">
        <v>54</v>
      </c>
      <c r="H164" s="2">
        <v>3500</v>
      </c>
      <c r="I164" s="2" t="s">
        <v>453</v>
      </c>
      <c r="J164" s="2" t="s">
        <v>57</v>
      </c>
      <c r="K164" s="2" t="s">
        <v>67</v>
      </c>
    </row>
    <row r="165" spans="1:13" x14ac:dyDescent="0.25">
      <c r="A165" s="2" t="s">
        <v>598</v>
      </c>
      <c r="B165" s="2" t="s">
        <v>3</v>
      </c>
      <c r="C165" s="2" t="s">
        <v>282</v>
      </c>
      <c r="D165" s="2" t="s">
        <v>283</v>
      </c>
      <c r="E165" s="2">
        <f>Projections!A164</f>
        <v>0</v>
      </c>
      <c r="F165" s="2">
        <v>18.537499745686802</v>
      </c>
      <c r="G165" s="2">
        <v>48</v>
      </c>
      <c r="H165" s="2">
        <v>3500</v>
      </c>
      <c r="I165" s="2" t="s">
        <v>441</v>
      </c>
      <c r="J165" s="2" t="s">
        <v>56</v>
      </c>
      <c r="K165" s="2" t="s">
        <v>300</v>
      </c>
    </row>
    <row r="166" spans="1:13" x14ac:dyDescent="0.25">
      <c r="A166" s="2" t="s">
        <v>599</v>
      </c>
      <c r="B166" s="2" t="s">
        <v>5</v>
      </c>
      <c r="C166" s="2" t="s">
        <v>284</v>
      </c>
      <c r="D166" s="2" t="s">
        <v>285</v>
      </c>
      <c r="E166" s="2">
        <f>Projections!A165</f>
        <v>0</v>
      </c>
      <c r="F166" s="2">
        <v>9.7399997287326396</v>
      </c>
      <c r="G166" s="2">
        <v>45</v>
      </c>
      <c r="H166" s="2">
        <v>3500</v>
      </c>
      <c r="I166" s="2" t="s">
        <v>438</v>
      </c>
      <c r="J166" s="2" t="s">
        <v>66</v>
      </c>
      <c r="K166" s="2" t="s">
        <v>51</v>
      </c>
    </row>
    <row r="167" spans="1:13" x14ac:dyDescent="0.25">
      <c r="A167" s="2" t="s">
        <v>600</v>
      </c>
      <c r="B167" s="2" t="s">
        <v>5</v>
      </c>
      <c r="C167" s="2" t="s">
        <v>409</v>
      </c>
      <c r="D167" s="2" t="s">
        <v>410</v>
      </c>
      <c r="E167" s="2">
        <f>Projections!A166</f>
        <v>0</v>
      </c>
      <c r="F167" s="2">
        <v>9.3166669209798094</v>
      </c>
      <c r="G167" s="2">
        <v>12</v>
      </c>
      <c r="H167" s="2">
        <v>3500</v>
      </c>
      <c r="I167" s="2" t="s">
        <v>441</v>
      </c>
      <c r="J167" s="2" t="s">
        <v>300</v>
      </c>
      <c r="K167" s="2" t="s">
        <v>56</v>
      </c>
    </row>
    <row r="168" spans="1:13" x14ac:dyDescent="0.25">
      <c r="A168" s="2" t="s">
        <v>601</v>
      </c>
      <c r="B168" s="2" t="s">
        <v>8</v>
      </c>
      <c r="C168" s="2" t="s">
        <v>189</v>
      </c>
      <c r="D168" s="2" t="s">
        <v>190</v>
      </c>
      <c r="E168" s="2">
        <f>Projections!A167</f>
        <v>0</v>
      </c>
      <c r="F168" s="2">
        <v>8.1418606070585007</v>
      </c>
      <c r="G168" s="2">
        <v>43</v>
      </c>
      <c r="H168" s="2">
        <v>3500</v>
      </c>
      <c r="I168" s="2" t="s">
        <v>428</v>
      </c>
      <c r="J168" s="2" t="s">
        <v>4</v>
      </c>
      <c r="K168" s="2" t="s">
        <v>294</v>
      </c>
    </row>
    <row r="169" spans="1:13" x14ac:dyDescent="0.25">
      <c r="A169" s="2" t="s">
        <v>602</v>
      </c>
      <c r="B169" s="2" t="s">
        <v>3</v>
      </c>
      <c r="C169" s="2" t="s">
        <v>191</v>
      </c>
      <c r="D169" s="2" t="s">
        <v>192</v>
      </c>
      <c r="E169" s="2">
        <f>Projections!A168</f>
        <v>0</v>
      </c>
      <c r="F169" s="2">
        <v>10.582051595052</v>
      </c>
      <c r="G169" s="2">
        <v>39</v>
      </c>
      <c r="H169" s="2">
        <v>3500</v>
      </c>
      <c r="I169" s="2" t="s">
        <v>438</v>
      </c>
      <c r="J169" s="2" t="s">
        <v>66</v>
      </c>
      <c r="K169" s="2" t="s">
        <v>51</v>
      </c>
    </row>
    <row r="170" spans="1:13" x14ac:dyDescent="0.25">
      <c r="A170" s="2" t="s">
        <v>603</v>
      </c>
      <c r="B170" s="2" t="s">
        <v>3</v>
      </c>
      <c r="C170" s="2" t="s">
        <v>193</v>
      </c>
      <c r="D170" s="2" t="s">
        <v>194</v>
      </c>
      <c r="E170" s="2">
        <f>Projections!A169</f>
        <v>0</v>
      </c>
      <c r="F170" s="2">
        <v>4.6222223352502896</v>
      </c>
      <c r="G170" s="2">
        <v>27</v>
      </c>
      <c r="H170" s="2">
        <v>3500</v>
      </c>
      <c r="I170" s="2" t="s">
        <v>438</v>
      </c>
      <c r="J170" s="2" t="s">
        <v>66</v>
      </c>
      <c r="K170" s="2" t="s">
        <v>51</v>
      </c>
    </row>
    <row r="171" spans="1:13" x14ac:dyDescent="0.25">
      <c r="A171" s="2" t="s">
        <v>604</v>
      </c>
      <c r="B171" s="2" t="s">
        <v>7</v>
      </c>
      <c r="C171" s="2" t="s">
        <v>180</v>
      </c>
      <c r="D171" s="2" t="s">
        <v>181</v>
      </c>
      <c r="E171" s="2">
        <f>Projections!A170</f>
        <v>0</v>
      </c>
      <c r="F171" s="2">
        <v>11.497872859873601</v>
      </c>
      <c r="G171" s="2">
        <v>47</v>
      </c>
      <c r="H171" s="2">
        <v>3500</v>
      </c>
      <c r="I171" s="2" t="s">
        <v>428</v>
      </c>
      <c r="J171" s="2" t="s">
        <v>4</v>
      </c>
      <c r="K171" s="2" t="s">
        <v>294</v>
      </c>
    </row>
    <row r="172" spans="1:13" x14ac:dyDescent="0.25">
      <c r="A172" s="2" t="s">
        <v>605</v>
      </c>
      <c r="B172" s="2" t="s">
        <v>7</v>
      </c>
      <c r="C172" s="2" t="s">
        <v>136</v>
      </c>
      <c r="D172" s="2" t="s">
        <v>411</v>
      </c>
      <c r="E172" s="2">
        <f>Projections!A171</f>
        <v>0</v>
      </c>
      <c r="F172" s="2">
        <v>4.9571429661342004</v>
      </c>
      <c r="G172" s="2">
        <v>14</v>
      </c>
      <c r="H172" s="2">
        <v>3500</v>
      </c>
      <c r="I172" s="2" t="s">
        <v>428</v>
      </c>
      <c r="J172" s="2" t="s">
        <v>294</v>
      </c>
      <c r="K172" s="2" t="s">
        <v>4</v>
      </c>
    </row>
    <row r="173" spans="1:13" x14ac:dyDescent="0.25">
      <c r="A173" s="2" t="s">
        <v>606</v>
      </c>
      <c r="B173" s="2" t="s">
        <v>6</v>
      </c>
      <c r="C173" s="2" t="s">
        <v>182</v>
      </c>
      <c r="D173" s="2" t="s">
        <v>183</v>
      </c>
      <c r="E173" s="2">
        <f>Projections!A172</f>
        <v>0</v>
      </c>
      <c r="F173" s="2">
        <v>12.3132070865271</v>
      </c>
      <c r="G173" s="2">
        <v>53</v>
      </c>
      <c r="H173" s="2">
        <v>3500</v>
      </c>
      <c r="I173" s="2" t="s">
        <v>428</v>
      </c>
      <c r="J173" s="2" t="s">
        <v>4</v>
      </c>
      <c r="K173" s="2" t="s">
        <v>294</v>
      </c>
    </row>
    <row r="174" spans="1:13" x14ac:dyDescent="0.25">
      <c r="A174" s="2" t="s">
        <v>607</v>
      </c>
      <c r="B174" s="2" t="s">
        <v>3</v>
      </c>
      <c r="C174" s="2" t="s">
        <v>376</v>
      </c>
      <c r="D174" s="2" t="s">
        <v>254</v>
      </c>
      <c r="E174" s="2">
        <f>Projections!A173</f>
        <v>0</v>
      </c>
      <c r="F174" s="2">
        <v>8.3543475607167093</v>
      </c>
      <c r="G174" s="2">
        <v>46</v>
      </c>
      <c r="H174" s="2">
        <v>3500</v>
      </c>
      <c r="I174" s="2" t="s">
        <v>432</v>
      </c>
      <c r="J174" s="2" t="s">
        <v>290</v>
      </c>
      <c r="K174" s="2" t="s">
        <v>292</v>
      </c>
    </row>
    <row r="175" spans="1:13" x14ac:dyDescent="0.25">
      <c r="A175" s="2" t="s">
        <v>608</v>
      </c>
      <c r="B175" s="2" t="s">
        <v>8</v>
      </c>
      <c r="C175" s="2" t="s">
        <v>196</v>
      </c>
      <c r="D175" s="2" t="s">
        <v>197</v>
      </c>
      <c r="E175" s="2">
        <f>Projections!A174</f>
        <v>0</v>
      </c>
      <c r="F175" s="2">
        <v>15.6666666666666</v>
      </c>
      <c r="G175" s="2">
        <v>21</v>
      </c>
      <c r="H175" s="2">
        <v>3500</v>
      </c>
      <c r="I175" s="2" t="s">
        <v>434</v>
      </c>
      <c r="J175" s="2" t="s">
        <v>47</v>
      </c>
      <c r="K175" s="2" t="s">
        <v>296</v>
      </c>
      <c r="L175" s="2" t="s">
        <v>58</v>
      </c>
      <c r="M175" s="2" t="s">
        <v>179</v>
      </c>
    </row>
    <row r="176" spans="1:13" x14ac:dyDescent="0.25">
      <c r="A176" s="2" t="s">
        <v>609</v>
      </c>
      <c r="B176" s="2" t="s">
        <v>8</v>
      </c>
      <c r="C176" s="2" t="s">
        <v>113</v>
      </c>
      <c r="D176" s="2" t="s">
        <v>412</v>
      </c>
      <c r="E176" s="2">
        <f>Projections!A175</f>
        <v>0</v>
      </c>
      <c r="F176" s="2">
        <v>6.2813954907794303</v>
      </c>
      <c r="G176" s="2">
        <v>43</v>
      </c>
      <c r="H176" s="2">
        <v>3500</v>
      </c>
      <c r="I176" s="2" t="s">
        <v>428</v>
      </c>
      <c r="J176" s="2" t="s">
        <v>294</v>
      </c>
      <c r="K176" s="2" t="s">
        <v>4</v>
      </c>
    </row>
    <row r="177" spans="1:13" x14ac:dyDescent="0.25">
      <c r="A177" s="2" t="s">
        <v>610</v>
      </c>
      <c r="B177" s="2" t="s">
        <v>7</v>
      </c>
      <c r="C177" s="2" t="s">
        <v>198</v>
      </c>
      <c r="D177" s="2" t="s">
        <v>199</v>
      </c>
      <c r="E177" s="2">
        <f>Projections!A176</f>
        <v>0</v>
      </c>
      <c r="F177" s="2">
        <v>7.6416664123535103</v>
      </c>
      <c r="G177" s="2">
        <v>12</v>
      </c>
      <c r="H177" s="2">
        <v>3500</v>
      </c>
      <c r="I177" s="2" t="s">
        <v>434</v>
      </c>
      <c r="J177" s="2" t="s">
        <v>47</v>
      </c>
      <c r="K177" s="2" t="s">
        <v>296</v>
      </c>
      <c r="L177" s="2" t="s">
        <v>58</v>
      </c>
      <c r="M177" s="2" t="s">
        <v>59</v>
      </c>
    </row>
    <row r="178" spans="1:13" x14ac:dyDescent="0.25">
      <c r="A178" s="2" t="s">
        <v>611</v>
      </c>
      <c r="B178" s="2" t="s">
        <v>8</v>
      </c>
      <c r="C178" s="2" t="s">
        <v>152</v>
      </c>
      <c r="D178" s="2" t="s">
        <v>413</v>
      </c>
      <c r="E178" s="2">
        <f>Projections!A177</f>
        <v>0</v>
      </c>
      <c r="F178" s="2">
        <v>13.8333333333333</v>
      </c>
      <c r="G178" s="2">
        <v>21</v>
      </c>
      <c r="H178" s="2">
        <v>3500</v>
      </c>
      <c r="I178" s="2" t="s">
        <v>432</v>
      </c>
      <c r="J178" s="2" t="s">
        <v>292</v>
      </c>
      <c r="K178" s="2" t="s">
        <v>290</v>
      </c>
    </row>
    <row r="179" spans="1:13" x14ac:dyDescent="0.25">
      <c r="A179" s="2" t="s">
        <v>612</v>
      </c>
      <c r="B179" s="2" t="s">
        <v>8</v>
      </c>
      <c r="C179" s="2" t="s">
        <v>70</v>
      </c>
      <c r="D179" s="2" t="s">
        <v>200</v>
      </c>
      <c r="E179" s="2">
        <f>Projections!A178</f>
        <v>0</v>
      </c>
      <c r="F179" s="2">
        <v>4.4117647058823497</v>
      </c>
      <c r="G179" s="2">
        <v>34</v>
      </c>
      <c r="H179" s="2">
        <v>3500</v>
      </c>
      <c r="I179" s="2" t="s">
        <v>453</v>
      </c>
      <c r="J179" s="2" t="s">
        <v>67</v>
      </c>
      <c r="K179" s="2" t="s">
        <v>57</v>
      </c>
    </row>
    <row r="180" spans="1:13" x14ac:dyDescent="0.25">
      <c r="A180" s="2" t="s">
        <v>613</v>
      </c>
      <c r="B180" s="2" t="s">
        <v>3</v>
      </c>
      <c r="C180" s="2" t="s">
        <v>201</v>
      </c>
      <c r="D180" s="2" t="s">
        <v>202</v>
      </c>
      <c r="E180" s="2">
        <f>Projections!A179</f>
        <v>0</v>
      </c>
      <c r="F180" s="2">
        <v>9.7882349350873099</v>
      </c>
      <c r="G180" s="2">
        <v>17</v>
      </c>
      <c r="H180" s="2">
        <v>3500</v>
      </c>
      <c r="I180" s="2" t="s">
        <v>453</v>
      </c>
      <c r="J180" s="2" t="s">
        <v>67</v>
      </c>
      <c r="K180" s="2" t="s">
        <v>57</v>
      </c>
    </row>
    <row r="181" spans="1:13" x14ac:dyDescent="0.25">
      <c r="A181" s="2" t="s">
        <v>614</v>
      </c>
      <c r="B181" s="2" t="s">
        <v>3</v>
      </c>
      <c r="C181" s="2" t="s">
        <v>203</v>
      </c>
      <c r="D181" s="2" t="s">
        <v>204</v>
      </c>
      <c r="E181" s="2">
        <f>Projections!A180</f>
        <v>0</v>
      </c>
      <c r="F181" s="2">
        <v>4.8249998092651296</v>
      </c>
      <c r="G181" s="2">
        <v>4</v>
      </c>
      <c r="H181" s="2">
        <v>3500</v>
      </c>
      <c r="I181" s="2" t="s">
        <v>438</v>
      </c>
      <c r="J181" s="2" t="s">
        <v>51</v>
      </c>
      <c r="K181" s="2" t="s">
        <v>66</v>
      </c>
    </row>
    <row r="182" spans="1:13" x14ac:dyDescent="0.25">
      <c r="A182" s="2" t="s">
        <v>615</v>
      </c>
      <c r="B182" s="2" t="s">
        <v>7</v>
      </c>
      <c r="C182" s="2" t="s">
        <v>367</v>
      </c>
      <c r="D182" s="2" t="s">
        <v>414</v>
      </c>
      <c r="E182" s="2">
        <f>Projections!A181</f>
        <v>0</v>
      </c>
      <c r="F182" s="2">
        <v>13.1666666666666</v>
      </c>
      <c r="G182" s="2">
        <v>45</v>
      </c>
      <c r="H182" s="2">
        <v>3500</v>
      </c>
      <c r="I182" s="2" t="s">
        <v>441</v>
      </c>
      <c r="J182" s="2" t="s">
        <v>300</v>
      </c>
      <c r="K182" s="2" t="s">
        <v>56</v>
      </c>
    </row>
    <row r="183" spans="1:13" x14ac:dyDescent="0.25">
      <c r="A183" s="2" t="s">
        <v>616</v>
      </c>
      <c r="B183" s="2" t="s">
        <v>8</v>
      </c>
      <c r="C183" s="2" t="s">
        <v>207</v>
      </c>
      <c r="D183" s="2" t="s">
        <v>208</v>
      </c>
      <c r="E183" s="2">
        <f>Projections!A182</f>
        <v>0</v>
      </c>
      <c r="F183" s="2">
        <v>8.4702701053103802</v>
      </c>
      <c r="G183" s="2">
        <v>37</v>
      </c>
      <c r="H183" s="2">
        <v>3500</v>
      </c>
      <c r="I183" s="2" t="s">
        <v>428</v>
      </c>
      <c r="J183" s="2" t="s">
        <v>4</v>
      </c>
      <c r="K183" s="2" t="s">
        <v>294</v>
      </c>
    </row>
    <row r="184" spans="1:13" x14ac:dyDescent="0.25">
      <c r="A184" s="2" t="s">
        <v>617</v>
      </c>
      <c r="B184" s="2" t="s">
        <v>6</v>
      </c>
      <c r="C184" s="2" t="s">
        <v>207</v>
      </c>
      <c r="D184" s="2" t="s">
        <v>168</v>
      </c>
      <c r="E184" s="2">
        <f>Projections!A183</f>
        <v>0</v>
      </c>
      <c r="F184" s="2">
        <v>9.1454544067382795</v>
      </c>
      <c r="G184" s="2">
        <v>11</v>
      </c>
      <c r="H184" s="2">
        <v>3500</v>
      </c>
      <c r="I184" s="2" t="s">
        <v>453</v>
      </c>
      <c r="J184" s="2" t="s">
        <v>57</v>
      </c>
      <c r="K184" s="2" t="s">
        <v>67</v>
      </c>
    </row>
    <row r="185" spans="1:13" x14ac:dyDescent="0.25">
      <c r="A185" s="2" t="s">
        <v>618</v>
      </c>
      <c r="B185" s="2" t="s">
        <v>3</v>
      </c>
      <c r="C185" s="2" t="s">
        <v>143</v>
      </c>
      <c r="D185" s="2" t="s">
        <v>415</v>
      </c>
      <c r="E185" s="2">
        <f>Projections!A184</f>
        <v>0</v>
      </c>
      <c r="F185" s="2">
        <v>10.182222493489499</v>
      </c>
      <c r="G185" s="2">
        <v>45</v>
      </c>
      <c r="H185" s="2">
        <v>3500</v>
      </c>
      <c r="I185" s="2" t="s">
        <v>432</v>
      </c>
      <c r="J185" s="2" t="s">
        <v>292</v>
      </c>
      <c r="K185" s="2" t="s">
        <v>290</v>
      </c>
    </row>
    <row r="186" spans="1:13" x14ac:dyDescent="0.25">
      <c r="A186" s="2" t="s">
        <v>619</v>
      </c>
      <c r="B186" s="2" t="s">
        <v>6</v>
      </c>
      <c r="C186" s="2" t="s">
        <v>210</v>
      </c>
      <c r="D186" s="2" t="s">
        <v>211</v>
      </c>
      <c r="E186" s="2">
        <f>Projections!A185</f>
        <v>0</v>
      </c>
      <c r="F186" s="2">
        <v>13.300000190734799</v>
      </c>
      <c r="G186" s="2">
        <v>1</v>
      </c>
      <c r="H186" s="2">
        <v>3500</v>
      </c>
      <c r="I186" s="2" t="s">
        <v>428</v>
      </c>
      <c r="J186" s="2" t="s">
        <v>4</v>
      </c>
      <c r="K186" s="2" t="s">
        <v>294</v>
      </c>
    </row>
    <row r="187" spans="1:13" x14ac:dyDescent="0.25">
      <c r="A187" s="2" t="s">
        <v>620</v>
      </c>
      <c r="B187" s="2" t="s">
        <v>5</v>
      </c>
      <c r="C187" s="2" t="s">
        <v>212</v>
      </c>
      <c r="D187" s="2" t="s">
        <v>213</v>
      </c>
      <c r="E187" s="2">
        <f>Projections!A186</f>
        <v>0</v>
      </c>
      <c r="F187" s="2">
        <v>16.377358490565999</v>
      </c>
      <c r="G187" s="2">
        <v>53</v>
      </c>
      <c r="H187" s="2">
        <v>3500</v>
      </c>
      <c r="I187" s="2" t="s">
        <v>453</v>
      </c>
      <c r="J187" s="2" t="s">
        <v>67</v>
      </c>
      <c r="K187" s="2" t="s">
        <v>57</v>
      </c>
    </row>
    <row r="188" spans="1:13" x14ac:dyDescent="0.25">
      <c r="A188" s="2" t="s">
        <v>621</v>
      </c>
      <c r="B188" s="2" t="s">
        <v>3</v>
      </c>
      <c r="C188" s="2" t="s">
        <v>214</v>
      </c>
      <c r="D188" s="2" t="s">
        <v>215</v>
      </c>
      <c r="E188" s="2">
        <f>Projections!A187</f>
        <v>0</v>
      </c>
      <c r="F188" s="2">
        <v>7.75</v>
      </c>
      <c r="G188" s="2">
        <v>8</v>
      </c>
      <c r="H188" s="2">
        <v>3500</v>
      </c>
      <c r="I188" s="2" t="s">
        <v>441</v>
      </c>
      <c r="J188" s="2" t="s">
        <v>56</v>
      </c>
      <c r="K188" s="2" t="s">
        <v>300</v>
      </c>
    </row>
    <row r="189" spans="1:13" x14ac:dyDescent="0.25">
      <c r="A189" s="2" t="s">
        <v>622</v>
      </c>
      <c r="B189" s="2" t="s">
        <v>7</v>
      </c>
      <c r="C189" s="2" t="s">
        <v>416</v>
      </c>
      <c r="D189" s="2" t="s">
        <v>417</v>
      </c>
      <c r="E189" s="2">
        <f>Projections!A188</f>
        <v>0</v>
      </c>
      <c r="F189" s="2">
        <v>3.5833333333333299</v>
      </c>
      <c r="G189" s="2">
        <v>6</v>
      </c>
      <c r="H189" s="2">
        <v>3500</v>
      </c>
      <c r="I189" s="2" t="s">
        <v>432</v>
      </c>
      <c r="J189" s="2" t="s">
        <v>292</v>
      </c>
      <c r="K189" s="2" t="s">
        <v>290</v>
      </c>
    </row>
    <row r="190" spans="1:13" x14ac:dyDescent="0.25">
      <c r="A190" s="2" t="s">
        <v>623</v>
      </c>
      <c r="B190" s="2" t="s">
        <v>7</v>
      </c>
      <c r="C190" s="2" t="s">
        <v>418</v>
      </c>
      <c r="D190" s="2" t="s">
        <v>419</v>
      </c>
      <c r="E190" s="2">
        <f>Projections!A189</f>
        <v>0</v>
      </c>
      <c r="F190" s="2">
        <v>11.9047619047619</v>
      </c>
      <c r="G190" s="2">
        <v>42</v>
      </c>
      <c r="H190" s="2">
        <v>3500</v>
      </c>
      <c r="I190" s="2" t="s">
        <v>432</v>
      </c>
      <c r="J190" s="2" t="s">
        <v>290</v>
      </c>
      <c r="K190" s="2" t="s">
        <v>292</v>
      </c>
    </row>
    <row r="191" spans="1:13" x14ac:dyDescent="0.25">
      <c r="A191" s="2" t="s">
        <v>624</v>
      </c>
      <c r="B191" s="2" t="s">
        <v>8</v>
      </c>
      <c r="C191" s="2" t="s">
        <v>366</v>
      </c>
      <c r="D191" s="2" t="s">
        <v>420</v>
      </c>
      <c r="E191" s="2">
        <f>Projections!A190</f>
        <v>0</v>
      </c>
      <c r="F191" s="2">
        <v>10.5791664123535</v>
      </c>
      <c r="G191" s="2">
        <v>48</v>
      </c>
      <c r="H191" s="2">
        <v>3500</v>
      </c>
      <c r="I191" s="2" t="s">
        <v>428</v>
      </c>
      <c r="J191" s="2" t="s">
        <v>294</v>
      </c>
      <c r="K191" s="2" t="s">
        <v>4</v>
      </c>
    </row>
    <row r="192" spans="1:13" x14ac:dyDescent="0.25">
      <c r="A192" s="2" t="s">
        <v>625</v>
      </c>
      <c r="B192" s="2" t="s">
        <v>8</v>
      </c>
      <c r="C192" s="2" t="s">
        <v>221</v>
      </c>
      <c r="D192" s="2" t="s">
        <v>222</v>
      </c>
      <c r="E192" s="2">
        <f>Projections!A191</f>
        <v>0</v>
      </c>
      <c r="F192" s="2">
        <v>7.29999991024241</v>
      </c>
      <c r="G192" s="2">
        <v>34</v>
      </c>
      <c r="H192" s="2">
        <v>3500</v>
      </c>
      <c r="I192" s="2" t="s">
        <v>434</v>
      </c>
      <c r="J192" s="2" t="s">
        <v>47</v>
      </c>
      <c r="K192" s="2" t="s">
        <v>296</v>
      </c>
    </row>
    <row r="193" spans="1:13" x14ac:dyDescent="0.25">
      <c r="A193" s="2" t="s">
        <v>626</v>
      </c>
      <c r="B193" s="2" t="s">
        <v>3</v>
      </c>
      <c r="C193" s="2" t="s">
        <v>226</v>
      </c>
      <c r="D193" s="2" t="s">
        <v>168</v>
      </c>
      <c r="E193" s="2">
        <f>Projections!A192</f>
        <v>0</v>
      </c>
      <c r="F193" s="2">
        <v>1.53125</v>
      </c>
      <c r="G193" s="2">
        <v>16</v>
      </c>
      <c r="H193" s="2">
        <v>3500</v>
      </c>
      <c r="I193" s="2" t="s">
        <v>430</v>
      </c>
      <c r="J193" s="2" t="s">
        <v>44</v>
      </c>
      <c r="K193" s="2" t="s">
        <v>297</v>
      </c>
    </row>
    <row r="194" spans="1:13" x14ac:dyDescent="0.25">
      <c r="A194" s="2" t="s">
        <v>627</v>
      </c>
      <c r="B194" s="2" t="s">
        <v>5</v>
      </c>
      <c r="C194" s="2" t="s">
        <v>421</v>
      </c>
      <c r="D194" s="2" t="s">
        <v>422</v>
      </c>
      <c r="E194" s="2">
        <f>Projections!A193</f>
        <v>0</v>
      </c>
      <c r="F194" s="2">
        <v>5.5</v>
      </c>
      <c r="G194" s="2">
        <v>16</v>
      </c>
      <c r="H194" s="2">
        <v>3500</v>
      </c>
      <c r="I194" s="2" t="s">
        <v>441</v>
      </c>
      <c r="J194" s="2" t="s">
        <v>300</v>
      </c>
      <c r="K194" s="2" t="s">
        <v>56</v>
      </c>
    </row>
    <row r="195" spans="1:13" x14ac:dyDescent="0.25">
      <c r="A195" s="2" t="s">
        <v>628</v>
      </c>
      <c r="B195" s="2" t="s">
        <v>7</v>
      </c>
      <c r="C195" s="2" t="s">
        <v>227</v>
      </c>
      <c r="D195" s="2" t="s">
        <v>228</v>
      </c>
      <c r="E195" s="2">
        <f>Projections!A194</f>
        <v>0</v>
      </c>
      <c r="F195" s="2">
        <v>7.02000020345052</v>
      </c>
      <c r="G195" s="2">
        <v>30</v>
      </c>
      <c r="H195" s="2">
        <v>3500</v>
      </c>
      <c r="I195" s="2" t="s">
        <v>438</v>
      </c>
      <c r="J195" s="2" t="s">
        <v>66</v>
      </c>
      <c r="K195" s="2" t="s">
        <v>51</v>
      </c>
    </row>
    <row r="196" spans="1:13" x14ac:dyDescent="0.25">
      <c r="A196" s="2" t="s">
        <v>629</v>
      </c>
      <c r="B196" s="2" t="s">
        <v>6</v>
      </c>
      <c r="C196" s="2" t="s">
        <v>231</v>
      </c>
      <c r="D196" s="2" t="s">
        <v>232</v>
      </c>
      <c r="E196" s="2">
        <f>Projections!A195</f>
        <v>0</v>
      </c>
      <c r="F196" s="2">
        <v>9.0125002179826996</v>
      </c>
      <c r="G196" s="2">
        <v>56</v>
      </c>
      <c r="H196" s="2">
        <v>3500</v>
      </c>
      <c r="I196" s="2" t="s">
        <v>430</v>
      </c>
      <c r="J196" s="2" t="s">
        <v>44</v>
      </c>
      <c r="K196" s="2" t="s">
        <v>297</v>
      </c>
    </row>
    <row r="197" spans="1:13" x14ac:dyDescent="0.25">
      <c r="A197" s="2" t="s">
        <v>630</v>
      </c>
      <c r="B197" s="2" t="s">
        <v>8</v>
      </c>
      <c r="C197" s="2" t="s">
        <v>169</v>
      </c>
      <c r="D197" s="2" t="s">
        <v>250</v>
      </c>
      <c r="E197" s="2">
        <f>Projections!A196</f>
        <v>0</v>
      </c>
      <c r="F197" s="2">
        <v>4.1791667938232404</v>
      </c>
      <c r="G197" s="2">
        <v>24</v>
      </c>
      <c r="H197" s="2">
        <v>3500</v>
      </c>
      <c r="I197" s="2" t="s">
        <v>432</v>
      </c>
      <c r="J197" s="2" t="s">
        <v>292</v>
      </c>
      <c r="K197" s="2" t="s">
        <v>290</v>
      </c>
    </row>
    <row r="198" spans="1:13" x14ac:dyDescent="0.25">
      <c r="A198" s="2" t="s">
        <v>631</v>
      </c>
      <c r="B198" s="2" t="s">
        <v>5</v>
      </c>
      <c r="C198" s="2" t="s">
        <v>174</v>
      </c>
      <c r="D198" s="2" t="s">
        <v>239</v>
      </c>
      <c r="E198" s="2">
        <f>Projections!A197</f>
        <v>0</v>
      </c>
      <c r="F198" s="2">
        <v>1.9333332909478</v>
      </c>
      <c r="G198" s="2">
        <v>9</v>
      </c>
      <c r="H198" s="2">
        <v>3500</v>
      </c>
      <c r="I198" s="2" t="s">
        <v>430</v>
      </c>
      <c r="J198" s="2" t="s">
        <v>44</v>
      </c>
      <c r="K198" s="2" t="s">
        <v>297</v>
      </c>
    </row>
    <row r="199" spans="1:13" x14ac:dyDescent="0.25">
      <c r="A199" s="2" t="s">
        <v>632</v>
      </c>
      <c r="B199" s="2" t="s">
        <v>7</v>
      </c>
      <c r="C199" s="2" t="s">
        <v>240</v>
      </c>
      <c r="D199" s="2" t="s">
        <v>241</v>
      </c>
      <c r="E199" s="2">
        <f>Projections!A198</f>
        <v>0</v>
      </c>
      <c r="F199" s="2">
        <v>4.0374999046325604</v>
      </c>
      <c r="G199" s="2">
        <v>8</v>
      </c>
      <c r="H199" s="2">
        <v>3500</v>
      </c>
      <c r="I199" s="2" t="s">
        <v>453</v>
      </c>
      <c r="J199" s="2" t="s">
        <v>57</v>
      </c>
      <c r="K199" s="2" t="s">
        <v>67</v>
      </c>
    </row>
    <row r="200" spans="1:13" x14ac:dyDescent="0.25">
      <c r="A200" s="2" t="s">
        <v>633</v>
      </c>
      <c r="B200" s="2" t="s">
        <v>6</v>
      </c>
      <c r="C200" s="2" t="s">
        <v>124</v>
      </c>
      <c r="D200" s="2" t="s">
        <v>423</v>
      </c>
      <c r="E200" s="2">
        <f>Projections!A199</f>
        <v>0</v>
      </c>
      <c r="F200" s="2">
        <v>1</v>
      </c>
      <c r="G200" s="2">
        <v>5</v>
      </c>
      <c r="H200" s="2">
        <v>3500</v>
      </c>
      <c r="I200" s="2" t="s">
        <v>430</v>
      </c>
      <c r="J200" s="2" t="s">
        <v>297</v>
      </c>
      <c r="K200" s="2" t="s">
        <v>44</v>
      </c>
    </row>
    <row r="201" spans="1:13" x14ac:dyDescent="0.25">
      <c r="A201" s="2" t="s">
        <v>634</v>
      </c>
      <c r="B201" s="2" t="s">
        <v>5</v>
      </c>
      <c r="C201" s="2" t="s">
        <v>329</v>
      </c>
      <c r="D201" s="2" t="s">
        <v>424</v>
      </c>
      <c r="E201" s="2">
        <f>Projections!A200</f>
        <v>0</v>
      </c>
      <c r="F201" s="2">
        <v>11.745237804594399</v>
      </c>
      <c r="G201" s="2">
        <v>42</v>
      </c>
      <c r="H201" s="2">
        <v>3500</v>
      </c>
      <c r="I201" s="2" t="s">
        <v>428</v>
      </c>
      <c r="J201" s="2" t="s">
        <v>294</v>
      </c>
      <c r="K201" s="2" t="s">
        <v>4</v>
      </c>
      <c r="L201" s="2" t="s">
        <v>58</v>
      </c>
      <c r="M201" s="2" t="s">
        <v>179</v>
      </c>
    </row>
    <row r="202" spans="1:13" x14ac:dyDescent="0.25">
      <c r="A202" s="2" t="s">
        <v>635</v>
      </c>
      <c r="B202" s="2" t="s">
        <v>6</v>
      </c>
      <c r="C202" s="2" t="s">
        <v>227</v>
      </c>
      <c r="D202" s="2" t="s">
        <v>230</v>
      </c>
      <c r="E202" s="2">
        <f>Projections!A201</f>
        <v>0</v>
      </c>
      <c r="F202" s="2">
        <v>15.0716978828862</v>
      </c>
      <c r="G202" s="2">
        <v>53</v>
      </c>
      <c r="H202" s="2">
        <v>3500</v>
      </c>
      <c r="I202" s="2" t="s">
        <v>453</v>
      </c>
      <c r="J202" s="2" t="s">
        <v>57</v>
      </c>
      <c r="K202" s="2" t="s">
        <v>67</v>
      </c>
    </row>
    <row r="203" spans="1:13" x14ac:dyDescent="0.25">
      <c r="A203" s="2" t="s">
        <v>636</v>
      </c>
      <c r="B203" s="2" t="s">
        <v>5</v>
      </c>
      <c r="C203" s="2" t="s">
        <v>252</v>
      </c>
      <c r="D203" s="2" t="s">
        <v>253</v>
      </c>
      <c r="E203" s="2">
        <f>Projections!A202</f>
        <v>0</v>
      </c>
      <c r="F203" s="2">
        <v>3.5384615384615299</v>
      </c>
      <c r="G203" s="2">
        <v>13</v>
      </c>
      <c r="H203" s="2">
        <v>3500</v>
      </c>
      <c r="I203" s="2" t="s">
        <v>428</v>
      </c>
      <c r="J203" s="2" t="s">
        <v>4</v>
      </c>
      <c r="K203" s="2" t="s">
        <v>294</v>
      </c>
    </row>
    <row r="204" spans="1:13" x14ac:dyDescent="0.25">
      <c r="A204" s="2" t="s">
        <v>637</v>
      </c>
      <c r="B204" s="2" t="s">
        <v>8</v>
      </c>
      <c r="C204" s="2" t="s">
        <v>425</v>
      </c>
      <c r="D204" s="2" t="s">
        <v>426</v>
      </c>
      <c r="E204" s="2">
        <f>Projections!A203</f>
        <v>0</v>
      </c>
      <c r="F204" s="2">
        <v>9.6140002441406196</v>
      </c>
      <c r="G204" s="2">
        <v>50</v>
      </c>
      <c r="H204" s="2">
        <v>3500</v>
      </c>
      <c r="I204" s="2" t="s">
        <v>430</v>
      </c>
      <c r="J204" s="2" t="s">
        <v>297</v>
      </c>
      <c r="K204" s="2" t="s">
        <v>44</v>
      </c>
    </row>
    <row r="205" spans="1:13" x14ac:dyDescent="0.25">
      <c r="A205" s="2" t="s">
        <v>638</v>
      </c>
      <c r="B205" s="2" t="s">
        <v>5</v>
      </c>
      <c r="C205" s="2" t="s">
        <v>266</v>
      </c>
      <c r="D205" s="2" t="s">
        <v>267</v>
      </c>
      <c r="E205" s="2">
        <f>Projections!A204</f>
        <v>0</v>
      </c>
      <c r="F205" s="2">
        <v>12.6370374891493</v>
      </c>
      <c r="G205" s="2">
        <v>54</v>
      </c>
      <c r="H205" s="2">
        <v>3500</v>
      </c>
      <c r="I205" s="2" t="s">
        <v>428</v>
      </c>
      <c r="J205" s="2" t="s">
        <v>4</v>
      </c>
      <c r="K205" s="2" t="s">
        <v>294</v>
      </c>
    </row>
    <row r="206" spans="1:13" x14ac:dyDescent="0.25">
      <c r="A206" s="2" t="s">
        <v>639</v>
      </c>
      <c r="B206" s="2" t="s">
        <v>6</v>
      </c>
      <c r="C206" s="2" t="s">
        <v>272</v>
      </c>
      <c r="D206" s="2" t="s">
        <v>273</v>
      </c>
      <c r="E206" s="2">
        <f>Projections!A205</f>
        <v>0</v>
      </c>
      <c r="F206" s="2">
        <v>9.59607831169577</v>
      </c>
      <c r="G206" s="2">
        <v>51</v>
      </c>
      <c r="H206" s="2">
        <v>3500</v>
      </c>
      <c r="I206" s="2" t="s">
        <v>434</v>
      </c>
      <c r="J206" s="2" t="s">
        <v>47</v>
      </c>
      <c r="K206" s="2" t="s">
        <v>296</v>
      </c>
    </row>
    <row r="207" spans="1:13" x14ac:dyDescent="0.25">
      <c r="A207" s="2" t="s">
        <v>640</v>
      </c>
      <c r="B207" s="2" t="s">
        <v>6</v>
      </c>
      <c r="C207" s="2" t="s">
        <v>278</v>
      </c>
      <c r="D207" s="2" t="s">
        <v>279</v>
      </c>
      <c r="E207" s="2">
        <f>Projections!A206</f>
        <v>0</v>
      </c>
      <c r="F207" s="2">
        <v>10.515384380634</v>
      </c>
      <c r="G207" s="2">
        <v>52</v>
      </c>
      <c r="H207" s="2">
        <v>3500</v>
      </c>
      <c r="I207" s="2" t="s">
        <v>453</v>
      </c>
      <c r="J207" s="2" t="s">
        <v>67</v>
      </c>
      <c r="K207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D6" sqref="D6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20.425781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4" t="s">
        <v>22</v>
      </c>
      <c r="E2" s="44"/>
      <c r="F2" s="44"/>
      <c r="G2" s="44"/>
      <c r="H2" s="44"/>
      <c r="I2" s="44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5" t="s">
        <v>24</v>
      </c>
      <c r="E3" s="45"/>
      <c r="F3" s="45"/>
      <c r="G3" s="45"/>
      <c r="H3" s="45"/>
      <c r="I3" s="45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11</v>
      </c>
      <c r="C15" s="15"/>
      <c r="D15" s="38">
        <f>'DraftKings Basketball  Solver'!O11</f>
        <v>315.25000000000006</v>
      </c>
      <c r="E15" s="36"/>
      <c r="F15" s="41" t="str">
        <f>'DraftKings Basketball  Solver'!O17</f>
        <v>Russell Westbrook</v>
      </c>
      <c r="G15" s="40" t="str">
        <f>'DraftKings Basketball  Solver'!O18</f>
        <v>Kyrie Irving</v>
      </c>
      <c r="H15" s="41" t="str">
        <f>'DraftKings Basketball  Solver'!O19</f>
        <v>Devin Booker</v>
      </c>
      <c r="I15" s="40" t="str">
        <f>'DraftKings Basketball  Solver'!O20</f>
        <v>Brandon Knight</v>
      </c>
      <c r="J15" s="41" t="str">
        <f>'DraftKings Basketball  Solver'!O25</f>
        <v>Alan Williams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12</v>
      </c>
      <c r="C16" s="15"/>
      <c r="D16" s="39">
        <f>'DraftKings Basketball  Solver'!O8</f>
        <v>60000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str">
        <f>'DraftKings Basketball  Solver'!O21</f>
        <v>LeBron James</v>
      </c>
      <c r="G17" s="41" t="str">
        <f>'DraftKings Basketball  Solver'!O22</f>
        <v>T.J. Warren</v>
      </c>
      <c r="H17" s="40" t="str">
        <f>'DraftKings Basketball  Solver'!O23</f>
        <v>Serge Ibaka</v>
      </c>
      <c r="I17" s="41" t="str">
        <f>'DraftKings Basketball  Solver'!O24</f>
        <v>Alex Len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22"/>
  <sheetViews>
    <sheetView workbookViewId="0">
      <selection activeCell="J14" sqref="J14"/>
    </sheetView>
  </sheetViews>
  <sheetFormatPr defaultRowHeight="15" x14ac:dyDescent="0.25"/>
  <cols>
    <col min="1" max="1" width="21.140625" style="2" bestFit="1" customWidth="1"/>
    <col min="2" max="16384" width="9.140625" style="2"/>
  </cols>
  <sheetData>
    <row r="1" spans="1:5" x14ac:dyDescent="0.25">
      <c r="A1" s="42"/>
      <c r="B1" s="43"/>
      <c r="C1" s="43"/>
      <c r="E1" s="43"/>
    </row>
    <row r="2" spans="1:5" x14ac:dyDescent="0.25">
      <c r="A2" s="42" t="s">
        <v>666</v>
      </c>
      <c r="B2" s="46">
        <v>12.5</v>
      </c>
      <c r="C2" s="43" t="s">
        <v>3</v>
      </c>
      <c r="D2" s="2">
        <v>59.24</v>
      </c>
      <c r="E2" s="43">
        <f>B2*1000</f>
        <v>12500</v>
      </c>
    </row>
    <row r="3" spans="1:5" x14ac:dyDescent="0.25">
      <c r="A3" s="42" t="s">
        <v>671</v>
      </c>
      <c r="B3" s="46">
        <v>12.5</v>
      </c>
      <c r="C3" s="43" t="s">
        <v>8</v>
      </c>
      <c r="D3" s="2">
        <v>57.76</v>
      </c>
      <c r="E3" s="43">
        <f t="shared" ref="E3:E66" si="0">B3*1000</f>
        <v>12500</v>
      </c>
    </row>
    <row r="4" spans="1:5" x14ac:dyDescent="0.25">
      <c r="A4" s="42" t="s">
        <v>672</v>
      </c>
      <c r="B4" s="46">
        <v>11.1</v>
      </c>
      <c r="C4" s="43" t="s">
        <v>6</v>
      </c>
      <c r="D4" s="2">
        <v>51.19</v>
      </c>
      <c r="E4" s="43">
        <f t="shared" si="0"/>
        <v>11100</v>
      </c>
    </row>
    <row r="5" spans="1:5" x14ac:dyDescent="0.25">
      <c r="A5" s="42" t="s">
        <v>686</v>
      </c>
      <c r="B5" s="46">
        <v>11.2</v>
      </c>
      <c r="C5" s="43" t="s">
        <v>8</v>
      </c>
      <c r="D5" s="2">
        <v>50.35</v>
      </c>
      <c r="E5" s="43">
        <f t="shared" si="0"/>
        <v>11200</v>
      </c>
    </row>
    <row r="6" spans="1:5" x14ac:dyDescent="0.25">
      <c r="A6" s="42" t="s">
        <v>713</v>
      </c>
      <c r="B6" s="46">
        <v>10.7</v>
      </c>
      <c r="C6" s="43" t="s">
        <v>6</v>
      </c>
      <c r="D6" s="2">
        <v>46.07</v>
      </c>
      <c r="E6" s="43">
        <f t="shared" si="0"/>
        <v>10700</v>
      </c>
    </row>
    <row r="7" spans="1:5" x14ac:dyDescent="0.25">
      <c r="A7" s="42" t="s">
        <v>688</v>
      </c>
      <c r="B7" s="46">
        <v>9.9</v>
      </c>
      <c r="C7" s="43" t="s">
        <v>5</v>
      </c>
      <c r="D7" s="2">
        <v>45.48</v>
      </c>
      <c r="E7" s="43">
        <f t="shared" si="0"/>
        <v>9900</v>
      </c>
    </row>
    <row r="8" spans="1:5" x14ac:dyDescent="0.25">
      <c r="A8" s="42" t="s">
        <v>676</v>
      </c>
      <c r="B8" s="46">
        <v>9.8000000000000007</v>
      </c>
      <c r="C8" s="43" t="s">
        <v>3</v>
      </c>
      <c r="D8" s="2">
        <v>44.58</v>
      </c>
      <c r="E8" s="43">
        <f t="shared" si="0"/>
        <v>9800</v>
      </c>
    </row>
    <row r="9" spans="1:5" x14ac:dyDescent="0.25">
      <c r="A9" s="42" t="s">
        <v>699</v>
      </c>
      <c r="B9" s="46">
        <v>9.5</v>
      </c>
      <c r="C9" s="43" t="s">
        <v>3</v>
      </c>
      <c r="D9" s="2">
        <v>41.63</v>
      </c>
      <c r="E9" s="43">
        <f t="shared" si="0"/>
        <v>9500</v>
      </c>
    </row>
    <row r="10" spans="1:5" x14ac:dyDescent="0.25">
      <c r="A10" s="42" t="s">
        <v>777</v>
      </c>
      <c r="B10" s="46">
        <v>9.6999999999999993</v>
      </c>
      <c r="C10" s="43" t="s">
        <v>5</v>
      </c>
      <c r="D10" s="2">
        <v>41.22</v>
      </c>
      <c r="E10" s="43">
        <f t="shared" si="0"/>
        <v>9700</v>
      </c>
    </row>
    <row r="11" spans="1:5" x14ac:dyDescent="0.25">
      <c r="A11" s="42" t="s">
        <v>657</v>
      </c>
      <c r="B11" s="46">
        <v>8.3000000000000007</v>
      </c>
      <c r="C11" s="43" t="s">
        <v>3</v>
      </c>
      <c r="D11" s="2">
        <v>41.04</v>
      </c>
      <c r="E11" s="43">
        <f t="shared" si="0"/>
        <v>8300</v>
      </c>
    </row>
    <row r="12" spans="1:5" x14ac:dyDescent="0.25">
      <c r="A12" s="42" t="s">
        <v>698</v>
      </c>
      <c r="B12" s="46">
        <v>9.1</v>
      </c>
      <c r="C12" s="43" t="s">
        <v>7</v>
      </c>
      <c r="D12" s="2">
        <v>39.86</v>
      </c>
      <c r="E12" s="43">
        <f t="shared" si="0"/>
        <v>9100</v>
      </c>
    </row>
    <row r="13" spans="1:5" x14ac:dyDescent="0.25">
      <c r="A13" s="42" t="s">
        <v>683</v>
      </c>
      <c r="B13" s="46">
        <v>8.6999999999999993</v>
      </c>
      <c r="C13" s="43" t="s">
        <v>6</v>
      </c>
      <c r="D13" s="2">
        <v>39.32</v>
      </c>
      <c r="E13" s="43">
        <f t="shared" si="0"/>
        <v>8700</v>
      </c>
    </row>
    <row r="14" spans="1:5" x14ac:dyDescent="0.25">
      <c r="A14" s="42" t="s">
        <v>681</v>
      </c>
      <c r="B14" s="46">
        <v>8.1999999999999993</v>
      </c>
      <c r="C14" s="43" t="s">
        <v>5</v>
      </c>
      <c r="D14" s="2">
        <v>37.08</v>
      </c>
      <c r="E14" s="43">
        <f t="shared" si="0"/>
        <v>8200</v>
      </c>
    </row>
    <row r="15" spans="1:5" x14ac:dyDescent="0.25">
      <c r="A15" s="42" t="s">
        <v>664</v>
      </c>
      <c r="B15" s="46">
        <v>7.7</v>
      </c>
      <c r="C15" s="43" t="s">
        <v>3</v>
      </c>
      <c r="D15" s="2">
        <v>36.67</v>
      </c>
      <c r="E15" s="43">
        <f t="shared" si="0"/>
        <v>7700</v>
      </c>
    </row>
    <row r="16" spans="1:5" x14ac:dyDescent="0.25">
      <c r="A16" s="42" t="s">
        <v>778</v>
      </c>
      <c r="B16" s="46">
        <v>7.3</v>
      </c>
      <c r="C16" s="43" t="s">
        <v>3</v>
      </c>
      <c r="D16" s="2">
        <v>36.54</v>
      </c>
      <c r="E16" s="43">
        <f t="shared" si="0"/>
        <v>7300</v>
      </c>
    </row>
    <row r="17" spans="1:5" x14ac:dyDescent="0.25">
      <c r="A17" s="42" t="s">
        <v>680</v>
      </c>
      <c r="B17" s="46">
        <v>7.8</v>
      </c>
      <c r="C17" s="43" t="s">
        <v>7</v>
      </c>
      <c r="D17" s="2">
        <v>35.31</v>
      </c>
      <c r="E17" s="43">
        <f t="shared" si="0"/>
        <v>7800</v>
      </c>
    </row>
    <row r="18" spans="1:5" x14ac:dyDescent="0.25">
      <c r="A18" s="42" t="s">
        <v>701</v>
      </c>
      <c r="B18" s="46">
        <v>8.1</v>
      </c>
      <c r="C18" s="43" t="s">
        <v>3</v>
      </c>
      <c r="D18" s="2">
        <v>35.11</v>
      </c>
      <c r="E18" s="43">
        <f t="shared" si="0"/>
        <v>8100</v>
      </c>
    </row>
    <row r="19" spans="1:5" x14ac:dyDescent="0.25">
      <c r="A19" s="42" t="s">
        <v>685</v>
      </c>
      <c r="B19" s="46">
        <v>6.8</v>
      </c>
      <c r="C19" s="43" t="s">
        <v>8</v>
      </c>
      <c r="D19" s="2">
        <v>35.08</v>
      </c>
      <c r="E19" s="43">
        <f t="shared" si="0"/>
        <v>6800</v>
      </c>
    </row>
    <row r="20" spans="1:5" x14ac:dyDescent="0.25">
      <c r="A20" s="42" t="s">
        <v>644</v>
      </c>
      <c r="B20" s="46">
        <v>6.3</v>
      </c>
      <c r="C20" s="43" t="s">
        <v>7</v>
      </c>
      <c r="D20" s="2">
        <v>34.96</v>
      </c>
      <c r="E20" s="43">
        <f t="shared" si="0"/>
        <v>6300</v>
      </c>
    </row>
    <row r="21" spans="1:5" x14ac:dyDescent="0.25">
      <c r="A21" s="42" t="s">
        <v>712</v>
      </c>
      <c r="B21" s="46">
        <v>8.1</v>
      </c>
      <c r="C21" s="43" t="s">
        <v>6</v>
      </c>
      <c r="D21" s="2">
        <v>34.340000000000003</v>
      </c>
      <c r="E21" s="43">
        <f t="shared" si="0"/>
        <v>8100</v>
      </c>
    </row>
    <row r="22" spans="1:5" x14ac:dyDescent="0.25">
      <c r="A22" s="42" t="s">
        <v>779</v>
      </c>
      <c r="B22" s="46">
        <v>7.5</v>
      </c>
      <c r="C22" s="43" t="s">
        <v>8</v>
      </c>
      <c r="D22" s="2">
        <v>34.17</v>
      </c>
      <c r="E22" s="43">
        <f t="shared" si="0"/>
        <v>7500</v>
      </c>
    </row>
    <row r="23" spans="1:5" x14ac:dyDescent="0.25">
      <c r="A23" s="42" t="s">
        <v>714</v>
      </c>
      <c r="B23" s="46">
        <v>8</v>
      </c>
      <c r="C23" s="43" t="s">
        <v>5</v>
      </c>
      <c r="D23" s="2">
        <v>33.729999999999997</v>
      </c>
      <c r="E23" s="43">
        <f t="shared" si="0"/>
        <v>8000</v>
      </c>
    </row>
    <row r="24" spans="1:5" x14ac:dyDescent="0.25">
      <c r="A24" s="42" t="s">
        <v>646</v>
      </c>
      <c r="B24" s="46">
        <v>6.4</v>
      </c>
      <c r="C24" s="43" t="s">
        <v>7</v>
      </c>
      <c r="D24" s="2">
        <v>33.67</v>
      </c>
      <c r="E24" s="43">
        <f t="shared" si="0"/>
        <v>6400</v>
      </c>
    </row>
    <row r="25" spans="1:5" x14ac:dyDescent="0.25">
      <c r="A25" s="42" t="s">
        <v>780</v>
      </c>
      <c r="B25" s="46">
        <v>7.7</v>
      </c>
      <c r="C25" s="43" t="s">
        <v>7</v>
      </c>
      <c r="D25" s="2">
        <v>33.57</v>
      </c>
      <c r="E25" s="43">
        <f t="shared" si="0"/>
        <v>7700</v>
      </c>
    </row>
    <row r="26" spans="1:5" x14ac:dyDescent="0.25">
      <c r="A26" s="42" t="s">
        <v>667</v>
      </c>
      <c r="B26" s="46">
        <v>6.7</v>
      </c>
      <c r="C26" s="43" t="s">
        <v>6</v>
      </c>
      <c r="D26" s="2">
        <v>31.63</v>
      </c>
      <c r="E26" s="43">
        <f t="shared" si="0"/>
        <v>6700</v>
      </c>
    </row>
    <row r="27" spans="1:5" x14ac:dyDescent="0.25">
      <c r="A27" s="42" t="s">
        <v>647</v>
      </c>
      <c r="B27" s="46">
        <v>6</v>
      </c>
      <c r="C27" s="43" t="s">
        <v>5</v>
      </c>
      <c r="D27" s="2">
        <v>31.41</v>
      </c>
      <c r="E27" s="43">
        <f t="shared" si="0"/>
        <v>6000</v>
      </c>
    </row>
    <row r="28" spans="1:5" x14ac:dyDescent="0.25">
      <c r="A28" s="42" t="s">
        <v>706</v>
      </c>
      <c r="B28" s="46">
        <v>7.3</v>
      </c>
      <c r="C28" s="43" t="s">
        <v>7</v>
      </c>
      <c r="D28" s="2">
        <v>31.31</v>
      </c>
      <c r="E28" s="43">
        <f t="shared" si="0"/>
        <v>7300</v>
      </c>
    </row>
    <row r="29" spans="1:5" x14ac:dyDescent="0.25">
      <c r="A29" s="42" t="s">
        <v>665</v>
      </c>
      <c r="B29" s="46">
        <v>6.5</v>
      </c>
      <c r="C29" s="43" t="s">
        <v>6</v>
      </c>
      <c r="D29" s="2">
        <v>30.9</v>
      </c>
      <c r="E29" s="43">
        <f t="shared" si="0"/>
        <v>6500</v>
      </c>
    </row>
    <row r="30" spans="1:5" x14ac:dyDescent="0.25">
      <c r="A30" s="42" t="s">
        <v>661</v>
      </c>
      <c r="B30" s="46">
        <v>6.4</v>
      </c>
      <c r="C30" s="43" t="s">
        <v>8</v>
      </c>
      <c r="D30" s="2">
        <v>30.88</v>
      </c>
      <c r="E30" s="43">
        <f t="shared" si="0"/>
        <v>6400</v>
      </c>
    </row>
    <row r="31" spans="1:5" x14ac:dyDescent="0.25">
      <c r="A31" s="42" t="s">
        <v>705</v>
      </c>
      <c r="B31" s="46">
        <v>7.1</v>
      </c>
      <c r="C31" s="43" t="s">
        <v>7</v>
      </c>
      <c r="D31" s="2">
        <v>30.51</v>
      </c>
      <c r="E31" s="43">
        <f t="shared" si="0"/>
        <v>7100</v>
      </c>
    </row>
    <row r="32" spans="1:5" x14ac:dyDescent="0.25">
      <c r="A32" s="42" t="s">
        <v>693</v>
      </c>
      <c r="B32" s="46">
        <v>6.2</v>
      </c>
      <c r="C32" s="43" t="s">
        <v>8</v>
      </c>
      <c r="D32" s="2">
        <v>30.2</v>
      </c>
      <c r="E32" s="43">
        <f t="shared" si="0"/>
        <v>6200</v>
      </c>
    </row>
    <row r="33" spans="1:5" x14ac:dyDescent="0.25">
      <c r="A33" s="42" t="s">
        <v>658</v>
      </c>
      <c r="B33" s="46">
        <v>6.1</v>
      </c>
      <c r="C33" s="43" t="s">
        <v>3</v>
      </c>
      <c r="D33" s="2">
        <v>29.96</v>
      </c>
      <c r="E33" s="43">
        <f t="shared" si="0"/>
        <v>6100</v>
      </c>
    </row>
    <row r="34" spans="1:5" x14ac:dyDescent="0.25">
      <c r="A34" s="42" t="s">
        <v>668</v>
      </c>
      <c r="B34" s="46">
        <v>6.3</v>
      </c>
      <c r="C34" s="43" t="s">
        <v>6</v>
      </c>
      <c r="D34" s="2">
        <v>29.57</v>
      </c>
      <c r="E34" s="43">
        <f t="shared" si="0"/>
        <v>6300</v>
      </c>
    </row>
    <row r="35" spans="1:5" x14ac:dyDescent="0.25">
      <c r="A35" s="42" t="s">
        <v>643</v>
      </c>
      <c r="B35" s="46">
        <v>5.3</v>
      </c>
      <c r="C35" s="43" t="s">
        <v>7</v>
      </c>
      <c r="D35" s="2">
        <v>29.54</v>
      </c>
      <c r="E35" s="43">
        <f t="shared" si="0"/>
        <v>5300</v>
      </c>
    </row>
    <row r="36" spans="1:5" x14ac:dyDescent="0.25">
      <c r="A36" s="42" t="s">
        <v>702</v>
      </c>
      <c r="B36" s="46">
        <v>6.8</v>
      </c>
      <c r="C36" s="43" t="s">
        <v>8</v>
      </c>
      <c r="D36" s="2">
        <v>29.47</v>
      </c>
      <c r="E36" s="43">
        <f t="shared" si="0"/>
        <v>6800</v>
      </c>
    </row>
    <row r="37" spans="1:5" x14ac:dyDescent="0.25">
      <c r="A37" s="42" t="s">
        <v>648</v>
      </c>
      <c r="B37" s="46">
        <v>5.5</v>
      </c>
      <c r="C37" s="43" t="s">
        <v>6</v>
      </c>
      <c r="D37" s="2">
        <v>28.65</v>
      </c>
      <c r="E37" s="43">
        <f t="shared" si="0"/>
        <v>5500</v>
      </c>
    </row>
    <row r="38" spans="1:5" x14ac:dyDescent="0.25">
      <c r="A38" s="42" t="s">
        <v>659</v>
      </c>
      <c r="B38" s="46">
        <v>5.5</v>
      </c>
      <c r="C38" s="43" t="s">
        <v>8</v>
      </c>
      <c r="D38" s="2">
        <v>28.23</v>
      </c>
      <c r="E38" s="43">
        <f t="shared" si="0"/>
        <v>5500</v>
      </c>
    </row>
    <row r="39" spans="1:5" x14ac:dyDescent="0.25">
      <c r="A39" s="42" t="s">
        <v>662</v>
      </c>
      <c r="B39" s="46">
        <v>5.0999999999999996</v>
      </c>
      <c r="C39" s="43" t="s">
        <v>8</v>
      </c>
      <c r="D39" s="2">
        <v>28.03</v>
      </c>
      <c r="E39" s="43">
        <f t="shared" si="0"/>
        <v>5100</v>
      </c>
    </row>
    <row r="40" spans="1:5" x14ac:dyDescent="0.25">
      <c r="A40" s="42" t="s">
        <v>653</v>
      </c>
      <c r="B40" s="46">
        <v>4.5</v>
      </c>
      <c r="C40" s="43" t="s">
        <v>6</v>
      </c>
      <c r="D40" s="2">
        <v>26.94</v>
      </c>
      <c r="E40" s="43">
        <f t="shared" si="0"/>
        <v>4500</v>
      </c>
    </row>
    <row r="41" spans="1:5" x14ac:dyDescent="0.25">
      <c r="A41" s="42" t="s">
        <v>781</v>
      </c>
      <c r="B41" s="46">
        <v>5.4</v>
      </c>
      <c r="C41" s="43" t="s">
        <v>5</v>
      </c>
      <c r="D41" s="2">
        <v>26.44</v>
      </c>
      <c r="E41" s="43">
        <f t="shared" si="0"/>
        <v>5400</v>
      </c>
    </row>
    <row r="42" spans="1:5" x14ac:dyDescent="0.25">
      <c r="A42" s="42" t="s">
        <v>716</v>
      </c>
      <c r="B42" s="46">
        <v>6</v>
      </c>
      <c r="C42" s="43" t="s">
        <v>5</v>
      </c>
      <c r="D42" s="2">
        <v>26.2</v>
      </c>
      <c r="E42" s="43">
        <f t="shared" si="0"/>
        <v>6000</v>
      </c>
    </row>
    <row r="43" spans="1:5" x14ac:dyDescent="0.25">
      <c r="A43" s="42" t="s">
        <v>782</v>
      </c>
      <c r="B43" s="46">
        <v>5.7</v>
      </c>
      <c r="C43" s="43" t="s">
        <v>3</v>
      </c>
      <c r="D43" s="2">
        <v>26.04</v>
      </c>
      <c r="E43" s="43">
        <f t="shared" si="0"/>
        <v>5700</v>
      </c>
    </row>
    <row r="44" spans="1:5" x14ac:dyDescent="0.25">
      <c r="A44" s="42" t="s">
        <v>684</v>
      </c>
      <c r="B44" s="46">
        <v>5.7</v>
      </c>
      <c r="C44" s="43" t="s">
        <v>5</v>
      </c>
      <c r="D44" s="2">
        <v>25.79</v>
      </c>
      <c r="E44" s="43">
        <f t="shared" si="0"/>
        <v>5700</v>
      </c>
    </row>
    <row r="45" spans="1:5" x14ac:dyDescent="0.25">
      <c r="A45" s="42" t="s">
        <v>783</v>
      </c>
      <c r="B45" s="46">
        <v>6.2</v>
      </c>
      <c r="C45" s="43" t="s">
        <v>3</v>
      </c>
      <c r="D45" s="2">
        <v>25.78</v>
      </c>
      <c r="E45" s="43">
        <f t="shared" si="0"/>
        <v>6200</v>
      </c>
    </row>
    <row r="46" spans="1:5" x14ac:dyDescent="0.25">
      <c r="A46" s="42" t="s">
        <v>656</v>
      </c>
      <c r="B46" s="46">
        <v>5.2</v>
      </c>
      <c r="C46" s="43" t="s">
        <v>5</v>
      </c>
      <c r="D46" s="2">
        <v>25.76</v>
      </c>
      <c r="E46" s="43">
        <f t="shared" si="0"/>
        <v>5200</v>
      </c>
    </row>
    <row r="47" spans="1:5" x14ac:dyDescent="0.25">
      <c r="A47" s="42" t="s">
        <v>669</v>
      </c>
      <c r="B47" s="46">
        <v>5.5</v>
      </c>
      <c r="C47" s="43" t="s">
        <v>8</v>
      </c>
      <c r="D47" s="2">
        <v>25.71</v>
      </c>
      <c r="E47" s="43">
        <f t="shared" si="0"/>
        <v>5500</v>
      </c>
    </row>
    <row r="48" spans="1:5" x14ac:dyDescent="0.25">
      <c r="A48" s="42" t="s">
        <v>670</v>
      </c>
      <c r="B48" s="46">
        <v>5.8</v>
      </c>
      <c r="C48" s="43" t="s">
        <v>8</v>
      </c>
      <c r="D48" s="2">
        <v>25.67</v>
      </c>
      <c r="E48" s="43">
        <f t="shared" si="0"/>
        <v>5800</v>
      </c>
    </row>
    <row r="49" spans="1:5" x14ac:dyDescent="0.25">
      <c r="A49" s="42" t="s">
        <v>678</v>
      </c>
      <c r="B49" s="46">
        <v>5.6</v>
      </c>
      <c r="C49" s="43" t="s">
        <v>5</v>
      </c>
      <c r="D49" s="2">
        <v>25.42</v>
      </c>
      <c r="E49" s="43">
        <f t="shared" si="0"/>
        <v>5600</v>
      </c>
    </row>
    <row r="50" spans="1:5" x14ac:dyDescent="0.25">
      <c r="A50" s="42" t="s">
        <v>682</v>
      </c>
      <c r="B50" s="46">
        <v>5.6</v>
      </c>
      <c r="C50" s="43" t="s">
        <v>3</v>
      </c>
      <c r="D50" s="2">
        <v>25.33</v>
      </c>
      <c r="E50" s="43">
        <f t="shared" si="0"/>
        <v>5600</v>
      </c>
    </row>
    <row r="51" spans="1:5" x14ac:dyDescent="0.25">
      <c r="A51" s="42" t="s">
        <v>784</v>
      </c>
      <c r="B51" s="46">
        <v>5.2</v>
      </c>
      <c r="C51" s="43" t="s">
        <v>7</v>
      </c>
      <c r="D51" s="2">
        <v>25.27</v>
      </c>
      <c r="E51" s="43">
        <f t="shared" si="0"/>
        <v>5200</v>
      </c>
    </row>
    <row r="52" spans="1:5" x14ac:dyDescent="0.25">
      <c r="A52" s="42" t="s">
        <v>735</v>
      </c>
      <c r="B52" s="46">
        <v>3.7</v>
      </c>
      <c r="C52" s="43" t="s">
        <v>8</v>
      </c>
      <c r="D52" s="2">
        <v>24.82</v>
      </c>
      <c r="E52" s="43">
        <f t="shared" si="0"/>
        <v>3700</v>
      </c>
    </row>
    <row r="53" spans="1:5" x14ac:dyDescent="0.25">
      <c r="A53" s="42" t="s">
        <v>673</v>
      </c>
      <c r="B53" s="46">
        <v>5.4</v>
      </c>
      <c r="C53" s="43" t="s">
        <v>7</v>
      </c>
      <c r="D53" s="2">
        <v>24.79</v>
      </c>
      <c r="E53" s="43">
        <f t="shared" si="0"/>
        <v>5400</v>
      </c>
    </row>
    <row r="54" spans="1:5" x14ac:dyDescent="0.25">
      <c r="A54" s="42" t="s">
        <v>641</v>
      </c>
      <c r="B54" s="46">
        <v>3.6</v>
      </c>
      <c r="C54" s="43" t="s">
        <v>5</v>
      </c>
      <c r="D54" s="2">
        <v>24.79</v>
      </c>
      <c r="E54" s="43">
        <f t="shared" si="0"/>
        <v>3600</v>
      </c>
    </row>
    <row r="55" spans="1:5" x14ac:dyDescent="0.25">
      <c r="A55" s="42" t="s">
        <v>679</v>
      </c>
      <c r="B55" s="46">
        <v>4.7</v>
      </c>
      <c r="C55" s="43" t="s">
        <v>6</v>
      </c>
      <c r="D55" s="2">
        <v>24.5</v>
      </c>
      <c r="E55" s="43">
        <f t="shared" si="0"/>
        <v>4700</v>
      </c>
    </row>
    <row r="56" spans="1:5" x14ac:dyDescent="0.25">
      <c r="A56" s="42" t="s">
        <v>724</v>
      </c>
      <c r="B56" s="46">
        <v>4.4000000000000004</v>
      </c>
      <c r="C56" s="43" t="s">
        <v>3</v>
      </c>
      <c r="D56" s="2">
        <v>24.45</v>
      </c>
      <c r="E56" s="43">
        <f t="shared" si="0"/>
        <v>4400</v>
      </c>
    </row>
    <row r="57" spans="1:5" x14ac:dyDescent="0.25">
      <c r="A57" s="42" t="s">
        <v>694</v>
      </c>
      <c r="B57" s="46">
        <v>5.4</v>
      </c>
      <c r="C57" s="43" t="s">
        <v>3</v>
      </c>
      <c r="D57" s="2">
        <v>23.82</v>
      </c>
      <c r="E57" s="43">
        <f t="shared" si="0"/>
        <v>5400</v>
      </c>
    </row>
    <row r="58" spans="1:5" x14ac:dyDescent="0.25">
      <c r="A58" s="42" t="s">
        <v>721</v>
      </c>
      <c r="B58" s="46">
        <v>5.9</v>
      </c>
      <c r="C58" s="43" t="s">
        <v>3</v>
      </c>
      <c r="D58" s="2">
        <v>23.8</v>
      </c>
      <c r="E58" s="43">
        <f t="shared" si="0"/>
        <v>5900</v>
      </c>
    </row>
    <row r="59" spans="1:5" x14ac:dyDescent="0.25">
      <c r="A59" s="42" t="s">
        <v>704</v>
      </c>
      <c r="B59" s="46">
        <v>5.8</v>
      </c>
      <c r="C59" s="43" t="s">
        <v>7</v>
      </c>
      <c r="D59" s="2">
        <v>23.78</v>
      </c>
      <c r="E59" s="43">
        <f t="shared" si="0"/>
        <v>5800</v>
      </c>
    </row>
    <row r="60" spans="1:5" x14ac:dyDescent="0.25">
      <c r="A60" s="42" t="s">
        <v>697</v>
      </c>
      <c r="B60" s="46">
        <v>5.4</v>
      </c>
      <c r="C60" s="43" t="s">
        <v>3</v>
      </c>
      <c r="D60" s="2">
        <v>23.69</v>
      </c>
      <c r="E60" s="43">
        <f t="shared" si="0"/>
        <v>5400</v>
      </c>
    </row>
    <row r="61" spans="1:5" x14ac:dyDescent="0.25">
      <c r="A61" s="42" t="s">
        <v>651</v>
      </c>
      <c r="B61" s="46">
        <v>4.5999999999999996</v>
      </c>
      <c r="C61" s="43" t="s">
        <v>7</v>
      </c>
      <c r="D61" s="2">
        <v>23.68</v>
      </c>
      <c r="E61" s="43">
        <f t="shared" si="0"/>
        <v>4600</v>
      </c>
    </row>
    <row r="62" spans="1:5" x14ac:dyDescent="0.25">
      <c r="A62" s="42" t="s">
        <v>738</v>
      </c>
      <c r="B62" s="46">
        <v>7.1</v>
      </c>
      <c r="C62" s="43" t="s">
        <v>8</v>
      </c>
      <c r="D62" s="2">
        <v>23.61</v>
      </c>
      <c r="E62" s="43">
        <f t="shared" si="0"/>
        <v>7100</v>
      </c>
    </row>
    <row r="63" spans="1:5" x14ac:dyDescent="0.25">
      <c r="A63" s="42" t="s">
        <v>785</v>
      </c>
      <c r="B63" s="46">
        <v>5.6</v>
      </c>
      <c r="C63" s="43" t="s">
        <v>6</v>
      </c>
      <c r="D63" s="2">
        <v>23.11</v>
      </c>
      <c r="E63" s="43">
        <f t="shared" si="0"/>
        <v>5600</v>
      </c>
    </row>
    <row r="64" spans="1:5" x14ac:dyDescent="0.25">
      <c r="A64" s="42" t="s">
        <v>660</v>
      </c>
      <c r="B64" s="46">
        <v>4.7</v>
      </c>
      <c r="C64" s="43" t="s">
        <v>5</v>
      </c>
      <c r="D64" s="2">
        <v>22.91</v>
      </c>
      <c r="E64" s="43">
        <f t="shared" si="0"/>
        <v>4700</v>
      </c>
    </row>
    <row r="65" spans="1:5" x14ac:dyDescent="0.25">
      <c r="A65" s="42" t="s">
        <v>731</v>
      </c>
      <c r="B65" s="46">
        <v>5.7</v>
      </c>
      <c r="C65" s="43" t="s">
        <v>8</v>
      </c>
      <c r="D65" s="2">
        <v>22.61</v>
      </c>
      <c r="E65" s="43">
        <f t="shared" si="0"/>
        <v>5700</v>
      </c>
    </row>
    <row r="66" spans="1:5" x14ac:dyDescent="0.25">
      <c r="A66" s="42" t="s">
        <v>786</v>
      </c>
      <c r="B66" s="46">
        <v>4.7</v>
      </c>
      <c r="C66" s="43" t="s">
        <v>8</v>
      </c>
      <c r="D66" s="2">
        <v>22.46</v>
      </c>
      <c r="E66" s="43">
        <f t="shared" si="0"/>
        <v>4700</v>
      </c>
    </row>
    <row r="67" spans="1:5" x14ac:dyDescent="0.25">
      <c r="A67" s="42" t="s">
        <v>690</v>
      </c>
      <c r="B67" s="46">
        <v>5</v>
      </c>
      <c r="C67" s="43" t="s">
        <v>5</v>
      </c>
      <c r="D67" s="2">
        <v>22.38</v>
      </c>
      <c r="E67" s="43">
        <f t="shared" ref="E67:E130" si="1">B67*1000</f>
        <v>5000</v>
      </c>
    </row>
    <row r="68" spans="1:5" x14ac:dyDescent="0.25">
      <c r="A68" s="42" t="s">
        <v>677</v>
      </c>
      <c r="B68" s="46">
        <v>4.8</v>
      </c>
      <c r="C68" s="43" t="s">
        <v>5</v>
      </c>
      <c r="D68" s="2">
        <v>21.8</v>
      </c>
      <c r="E68" s="43">
        <f t="shared" si="1"/>
        <v>4800</v>
      </c>
    </row>
    <row r="69" spans="1:5" x14ac:dyDescent="0.25">
      <c r="A69" s="42" t="s">
        <v>649</v>
      </c>
      <c r="B69" s="46">
        <v>4.2</v>
      </c>
      <c r="C69" s="43" t="s">
        <v>6</v>
      </c>
      <c r="D69" s="2">
        <v>21.76</v>
      </c>
      <c r="E69" s="43">
        <f t="shared" si="1"/>
        <v>4200</v>
      </c>
    </row>
    <row r="70" spans="1:5" x14ac:dyDescent="0.25">
      <c r="A70" s="42" t="s">
        <v>720</v>
      </c>
      <c r="B70" s="46">
        <v>5.0999999999999996</v>
      </c>
      <c r="C70" s="43" t="s">
        <v>3</v>
      </c>
      <c r="D70" s="2">
        <v>21.27</v>
      </c>
      <c r="E70" s="43">
        <f t="shared" si="1"/>
        <v>5100</v>
      </c>
    </row>
    <row r="71" spans="1:5" x14ac:dyDescent="0.25">
      <c r="A71" s="42" t="s">
        <v>642</v>
      </c>
      <c r="B71" s="46">
        <v>3.5</v>
      </c>
      <c r="C71" s="43" t="s">
        <v>7</v>
      </c>
      <c r="D71" s="2">
        <v>20.74</v>
      </c>
      <c r="E71" s="43">
        <f t="shared" si="1"/>
        <v>3500</v>
      </c>
    </row>
    <row r="72" spans="1:5" x14ac:dyDescent="0.25">
      <c r="A72" s="42" t="s">
        <v>787</v>
      </c>
      <c r="B72" s="46">
        <v>3.8</v>
      </c>
      <c r="C72" s="43" t="s">
        <v>5</v>
      </c>
      <c r="D72" s="2">
        <v>20.67</v>
      </c>
      <c r="E72" s="43">
        <f t="shared" si="1"/>
        <v>3800</v>
      </c>
    </row>
    <row r="73" spans="1:5" x14ac:dyDescent="0.25">
      <c r="A73" s="42" t="s">
        <v>788</v>
      </c>
      <c r="B73" s="46">
        <v>5.0999999999999996</v>
      </c>
      <c r="C73" s="43" t="s">
        <v>8</v>
      </c>
      <c r="D73" s="2">
        <v>20.14</v>
      </c>
      <c r="E73" s="43">
        <f t="shared" si="1"/>
        <v>5100</v>
      </c>
    </row>
    <row r="74" spans="1:5" x14ac:dyDescent="0.25">
      <c r="A74" s="42" t="s">
        <v>789</v>
      </c>
      <c r="B74" s="46">
        <v>4.5999999999999996</v>
      </c>
      <c r="C74" s="43" t="s">
        <v>3</v>
      </c>
      <c r="D74" s="2">
        <v>20.14</v>
      </c>
      <c r="E74" s="43">
        <f t="shared" si="1"/>
        <v>4600</v>
      </c>
    </row>
    <row r="75" spans="1:5" x14ac:dyDescent="0.25">
      <c r="A75" s="42" t="s">
        <v>663</v>
      </c>
      <c r="B75" s="46">
        <v>4.2</v>
      </c>
      <c r="C75" s="43" t="s">
        <v>6</v>
      </c>
      <c r="D75" s="2">
        <v>20.05</v>
      </c>
      <c r="E75" s="43">
        <f t="shared" si="1"/>
        <v>4200</v>
      </c>
    </row>
    <row r="76" spans="1:5" x14ac:dyDescent="0.25">
      <c r="A76" s="42" t="s">
        <v>709</v>
      </c>
      <c r="B76" s="46">
        <v>5.5</v>
      </c>
      <c r="C76" s="43" t="s">
        <v>8</v>
      </c>
      <c r="D76" s="2">
        <v>19.95</v>
      </c>
      <c r="E76" s="43">
        <f t="shared" si="1"/>
        <v>5500</v>
      </c>
    </row>
    <row r="77" spans="1:5" x14ac:dyDescent="0.25">
      <c r="A77" s="42" t="s">
        <v>652</v>
      </c>
      <c r="B77" s="46">
        <v>3.9</v>
      </c>
      <c r="C77" s="43" t="s">
        <v>5</v>
      </c>
      <c r="D77" s="2">
        <v>19.87</v>
      </c>
      <c r="E77" s="43">
        <f t="shared" si="1"/>
        <v>3900</v>
      </c>
    </row>
    <row r="78" spans="1:5" x14ac:dyDescent="0.25">
      <c r="A78" s="42" t="s">
        <v>708</v>
      </c>
      <c r="B78" s="46">
        <v>3.9</v>
      </c>
      <c r="C78" s="43" t="s">
        <v>8</v>
      </c>
      <c r="D78" s="2">
        <v>19.63</v>
      </c>
      <c r="E78" s="43">
        <f t="shared" si="1"/>
        <v>3900</v>
      </c>
    </row>
    <row r="79" spans="1:5" x14ac:dyDescent="0.25">
      <c r="A79" s="42" t="s">
        <v>645</v>
      </c>
      <c r="B79" s="46">
        <v>3.6</v>
      </c>
      <c r="C79" s="43" t="s">
        <v>7</v>
      </c>
      <c r="D79" s="2">
        <v>19.38</v>
      </c>
      <c r="E79" s="43">
        <f t="shared" si="1"/>
        <v>3600</v>
      </c>
    </row>
    <row r="80" spans="1:5" x14ac:dyDescent="0.25">
      <c r="A80" s="42" t="s">
        <v>703</v>
      </c>
      <c r="B80" s="46">
        <v>4.4000000000000004</v>
      </c>
      <c r="C80" s="43" t="s">
        <v>6</v>
      </c>
      <c r="D80" s="2">
        <v>19.010000000000002</v>
      </c>
      <c r="E80" s="43">
        <f t="shared" si="1"/>
        <v>4400</v>
      </c>
    </row>
    <row r="81" spans="1:5" x14ac:dyDescent="0.25">
      <c r="A81" s="42" t="s">
        <v>711</v>
      </c>
      <c r="B81" s="46">
        <v>3.7</v>
      </c>
      <c r="C81" s="43" t="s">
        <v>5</v>
      </c>
      <c r="D81" s="2">
        <v>18.84</v>
      </c>
      <c r="E81" s="43">
        <f t="shared" si="1"/>
        <v>3700</v>
      </c>
    </row>
    <row r="82" spans="1:5" x14ac:dyDescent="0.25">
      <c r="A82" s="42" t="s">
        <v>717</v>
      </c>
      <c r="B82" s="46">
        <v>3.8</v>
      </c>
      <c r="C82" s="43" t="s">
        <v>6</v>
      </c>
      <c r="D82" s="2">
        <v>18.739999999999998</v>
      </c>
      <c r="E82" s="43">
        <f t="shared" si="1"/>
        <v>3800</v>
      </c>
    </row>
    <row r="83" spans="1:5" x14ac:dyDescent="0.25">
      <c r="A83" s="42" t="s">
        <v>692</v>
      </c>
      <c r="B83" s="46">
        <v>4.2</v>
      </c>
      <c r="C83" s="43" t="s">
        <v>6</v>
      </c>
      <c r="D83" s="2">
        <v>18.66</v>
      </c>
      <c r="E83" s="43">
        <f t="shared" si="1"/>
        <v>4200</v>
      </c>
    </row>
    <row r="84" spans="1:5" x14ac:dyDescent="0.25">
      <c r="A84" s="42" t="s">
        <v>790</v>
      </c>
      <c r="B84" s="46">
        <v>3.9</v>
      </c>
      <c r="C84" s="43" t="s">
        <v>8</v>
      </c>
      <c r="D84" s="2">
        <v>18.48</v>
      </c>
      <c r="E84" s="43">
        <f t="shared" si="1"/>
        <v>3900</v>
      </c>
    </row>
    <row r="85" spans="1:5" x14ac:dyDescent="0.25">
      <c r="A85" s="42" t="s">
        <v>732</v>
      </c>
      <c r="B85" s="46">
        <v>4.3</v>
      </c>
      <c r="C85" s="43" t="s">
        <v>5</v>
      </c>
      <c r="D85" s="2">
        <v>18.43</v>
      </c>
      <c r="E85" s="43">
        <f t="shared" si="1"/>
        <v>4300</v>
      </c>
    </row>
    <row r="86" spans="1:5" x14ac:dyDescent="0.25">
      <c r="A86" s="42" t="s">
        <v>791</v>
      </c>
      <c r="B86" s="46">
        <v>4.8</v>
      </c>
      <c r="C86" s="43" t="s">
        <v>5</v>
      </c>
      <c r="D86" s="2">
        <v>18.43</v>
      </c>
      <c r="E86" s="43">
        <f t="shared" si="1"/>
        <v>4800</v>
      </c>
    </row>
    <row r="87" spans="1:5" x14ac:dyDescent="0.25">
      <c r="A87" s="42" t="s">
        <v>654</v>
      </c>
      <c r="B87" s="46">
        <v>3.6</v>
      </c>
      <c r="C87" s="43" t="s">
        <v>8</v>
      </c>
      <c r="D87" s="2">
        <v>18.190000000000001</v>
      </c>
      <c r="E87" s="43">
        <f t="shared" si="1"/>
        <v>3600</v>
      </c>
    </row>
    <row r="88" spans="1:5" x14ac:dyDescent="0.25">
      <c r="A88" s="42" t="s">
        <v>650</v>
      </c>
      <c r="B88" s="46">
        <v>3.5</v>
      </c>
      <c r="C88" s="43" t="s">
        <v>5</v>
      </c>
      <c r="D88" s="2">
        <v>18.07</v>
      </c>
      <c r="E88" s="43">
        <f t="shared" si="1"/>
        <v>3500</v>
      </c>
    </row>
    <row r="89" spans="1:5" x14ac:dyDescent="0.25">
      <c r="A89" s="42" t="s">
        <v>655</v>
      </c>
      <c r="B89" s="46">
        <v>3.5</v>
      </c>
      <c r="C89" s="43" t="s">
        <v>7</v>
      </c>
      <c r="D89" s="2">
        <v>17.440000000000001</v>
      </c>
      <c r="E89" s="43">
        <f t="shared" si="1"/>
        <v>3500</v>
      </c>
    </row>
    <row r="90" spans="1:5" x14ac:dyDescent="0.25">
      <c r="A90" s="42" t="s">
        <v>674</v>
      </c>
      <c r="B90" s="46">
        <v>3.8</v>
      </c>
      <c r="C90" s="43" t="s">
        <v>6</v>
      </c>
      <c r="D90" s="2">
        <v>17.43</v>
      </c>
      <c r="E90" s="43">
        <f t="shared" si="1"/>
        <v>3800</v>
      </c>
    </row>
    <row r="91" spans="1:5" x14ac:dyDescent="0.25">
      <c r="A91" s="42" t="s">
        <v>726</v>
      </c>
      <c r="B91" s="46">
        <v>4.4000000000000004</v>
      </c>
      <c r="C91" s="43" t="s">
        <v>7</v>
      </c>
      <c r="D91" s="2">
        <v>17.190000000000001</v>
      </c>
      <c r="E91" s="43">
        <f t="shared" si="1"/>
        <v>4400</v>
      </c>
    </row>
    <row r="92" spans="1:5" x14ac:dyDescent="0.25">
      <c r="A92" s="42" t="s">
        <v>718</v>
      </c>
      <c r="B92" s="46">
        <v>4.2</v>
      </c>
      <c r="C92" s="43" t="s">
        <v>3</v>
      </c>
      <c r="D92" s="2">
        <v>17.170000000000002</v>
      </c>
      <c r="E92" s="43">
        <f t="shared" si="1"/>
        <v>4200</v>
      </c>
    </row>
    <row r="93" spans="1:5" x14ac:dyDescent="0.25">
      <c r="A93" s="42" t="s">
        <v>707</v>
      </c>
      <c r="B93" s="46">
        <v>3.9</v>
      </c>
      <c r="C93" s="43" t="s">
        <v>7</v>
      </c>
      <c r="D93" s="2">
        <v>16.75</v>
      </c>
      <c r="E93" s="43">
        <f t="shared" si="1"/>
        <v>3900</v>
      </c>
    </row>
    <row r="94" spans="1:5" x14ac:dyDescent="0.25">
      <c r="A94" s="42" t="s">
        <v>696</v>
      </c>
      <c r="B94" s="46">
        <v>3.8</v>
      </c>
      <c r="C94" s="43" t="s">
        <v>6</v>
      </c>
      <c r="D94" s="2">
        <v>16.68</v>
      </c>
      <c r="E94" s="43">
        <f t="shared" si="1"/>
        <v>3800</v>
      </c>
    </row>
    <row r="95" spans="1:5" x14ac:dyDescent="0.25">
      <c r="A95" s="42" t="s">
        <v>739</v>
      </c>
      <c r="B95" s="46">
        <v>4.2</v>
      </c>
      <c r="C95" s="43" t="s">
        <v>7</v>
      </c>
      <c r="D95" s="2">
        <v>16.55</v>
      </c>
      <c r="E95" s="43">
        <f t="shared" si="1"/>
        <v>4200</v>
      </c>
    </row>
    <row r="96" spans="1:5" x14ac:dyDescent="0.25">
      <c r="A96" s="42" t="s">
        <v>675</v>
      </c>
      <c r="B96" s="46">
        <v>4</v>
      </c>
      <c r="C96" s="43" t="s">
        <v>3</v>
      </c>
      <c r="D96" s="2">
        <v>16.420000000000002</v>
      </c>
      <c r="E96" s="43">
        <f t="shared" si="1"/>
        <v>4000</v>
      </c>
    </row>
    <row r="97" spans="1:5" x14ac:dyDescent="0.25">
      <c r="A97" s="42" t="s">
        <v>792</v>
      </c>
      <c r="B97" s="46">
        <v>4</v>
      </c>
      <c r="C97" s="43" t="s">
        <v>6</v>
      </c>
      <c r="D97" s="2">
        <v>16.420000000000002</v>
      </c>
      <c r="E97" s="43">
        <f t="shared" si="1"/>
        <v>4000</v>
      </c>
    </row>
    <row r="98" spans="1:5" x14ac:dyDescent="0.25">
      <c r="A98" s="42" t="s">
        <v>742</v>
      </c>
      <c r="B98" s="46">
        <v>4.0999999999999996</v>
      </c>
      <c r="C98" s="43" t="s">
        <v>8</v>
      </c>
      <c r="D98" s="2">
        <v>16.38</v>
      </c>
      <c r="E98" s="43">
        <f t="shared" si="1"/>
        <v>4100</v>
      </c>
    </row>
    <row r="99" spans="1:5" x14ac:dyDescent="0.25">
      <c r="A99" s="42" t="s">
        <v>710</v>
      </c>
      <c r="B99" s="46">
        <v>3.8</v>
      </c>
      <c r="C99" s="43" t="s">
        <v>5</v>
      </c>
      <c r="D99" s="2">
        <v>16.23</v>
      </c>
      <c r="E99" s="43">
        <f t="shared" si="1"/>
        <v>3800</v>
      </c>
    </row>
    <row r="100" spans="1:5" x14ac:dyDescent="0.25">
      <c r="A100" s="42" t="s">
        <v>689</v>
      </c>
      <c r="B100" s="46">
        <v>3.6</v>
      </c>
      <c r="C100" s="43" t="s">
        <v>8</v>
      </c>
      <c r="D100" s="2">
        <v>16.149999999999999</v>
      </c>
      <c r="E100" s="43">
        <f t="shared" si="1"/>
        <v>3600</v>
      </c>
    </row>
    <row r="101" spans="1:5" x14ac:dyDescent="0.25">
      <c r="A101" s="42" t="s">
        <v>700</v>
      </c>
      <c r="B101" s="46">
        <v>3.6</v>
      </c>
      <c r="C101" s="43" t="s">
        <v>7</v>
      </c>
      <c r="D101" s="2">
        <v>15.77</v>
      </c>
      <c r="E101" s="43">
        <f t="shared" si="1"/>
        <v>3600</v>
      </c>
    </row>
    <row r="102" spans="1:5" x14ac:dyDescent="0.25">
      <c r="A102" s="42" t="s">
        <v>687</v>
      </c>
      <c r="B102" s="46">
        <v>3.5</v>
      </c>
      <c r="C102" s="43" t="s">
        <v>6</v>
      </c>
      <c r="D102" s="2">
        <v>15.74</v>
      </c>
      <c r="E102" s="43">
        <f t="shared" si="1"/>
        <v>3500</v>
      </c>
    </row>
    <row r="103" spans="1:5" x14ac:dyDescent="0.25">
      <c r="A103" s="42" t="s">
        <v>756</v>
      </c>
      <c r="B103" s="46">
        <v>4.0999999999999996</v>
      </c>
      <c r="C103" s="43" t="s">
        <v>5</v>
      </c>
      <c r="D103" s="2">
        <v>15.67</v>
      </c>
      <c r="E103" s="43">
        <f t="shared" si="1"/>
        <v>4100</v>
      </c>
    </row>
    <row r="104" spans="1:5" x14ac:dyDescent="0.25">
      <c r="A104" s="42" t="s">
        <v>691</v>
      </c>
      <c r="B104" s="46">
        <v>3.5</v>
      </c>
      <c r="C104" s="43" t="s">
        <v>8</v>
      </c>
      <c r="D104" s="2">
        <v>15.61</v>
      </c>
      <c r="E104" s="43">
        <f t="shared" si="1"/>
        <v>3500</v>
      </c>
    </row>
    <row r="105" spans="1:5" x14ac:dyDescent="0.25">
      <c r="A105" s="42" t="s">
        <v>728</v>
      </c>
      <c r="B105" s="46">
        <v>4</v>
      </c>
      <c r="C105" s="43" t="s">
        <v>8</v>
      </c>
      <c r="D105" s="2">
        <v>15.55</v>
      </c>
      <c r="E105" s="43">
        <f t="shared" si="1"/>
        <v>4000</v>
      </c>
    </row>
    <row r="106" spans="1:5" x14ac:dyDescent="0.25">
      <c r="A106" s="42" t="s">
        <v>723</v>
      </c>
      <c r="B106" s="46">
        <v>3.9</v>
      </c>
      <c r="C106" s="43" t="s">
        <v>6</v>
      </c>
      <c r="D106" s="2">
        <v>15.48</v>
      </c>
      <c r="E106" s="43">
        <f t="shared" si="1"/>
        <v>3900</v>
      </c>
    </row>
    <row r="107" spans="1:5" x14ac:dyDescent="0.25">
      <c r="A107" s="42" t="s">
        <v>729</v>
      </c>
      <c r="B107" s="46">
        <v>3.5</v>
      </c>
      <c r="C107" s="43" t="s">
        <v>3</v>
      </c>
      <c r="D107" s="2">
        <v>15.46</v>
      </c>
      <c r="E107" s="43">
        <f t="shared" si="1"/>
        <v>3500</v>
      </c>
    </row>
    <row r="108" spans="1:5" x14ac:dyDescent="0.25">
      <c r="A108" s="42" t="s">
        <v>743</v>
      </c>
      <c r="B108" s="46">
        <v>3.5</v>
      </c>
      <c r="C108" s="43" t="s">
        <v>6</v>
      </c>
      <c r="D108" s="2">
        <v>15.11</v>
      </c>
      <c r="E108" s="43">
        <f t="shared" si="1"/>
        <v>3500</v>
      </c>
    </row>
    <row r="109" spans="1:5" x14ac:dyDescent="0.25">
      <c r="A109" s="42" t="s">
        <v>774</v>
      </c>
      <c r="B109" s="46">
        <v>3.5</v>
      </c>
      <c r="C109" s="43" t="s">
        <v>5</v>
      </c>
      <c r="D109" s="2">
        <v>15.05</v>
      </c>
      <c r="E109" s="43">
        <f t="shared" si="1"/>
        <v>3500</v>
      </c>
    </row>
    <row r="110" spans="1:5" x14ac:dyDescent="0.25">
      <c r="A110" s="42" t="s">
        <v>736</v>
      </c>
      <c r="B110" s="46">
        <v>3.6</v>
      </c>
      <c r="C110" s="43" t="s">
        <v>3</v>
      </c>
      <c r="D110" s="2">
        <v>15</v>
      </c>
      <c r="E110" s="43">
        <f t="shared" si="1"/>
        <v>3600</v>
      </c>
    </row>
    <row r="111" spans="1:5" x14ac:dyDescent="0.25">
      <c r="A111" s="42" t="s">
        <v>715</v>
      </c>
      <c r="B111" s="46">
        <v>3.5</v>
      </c>
      <c r="C111" s="43" t="s">
        <v>5</v>
      </c>
      <c r="D111" s="2">
        <v>14.65</v>
      </c>
      <c r="E111" s="43">
        <f t="shared" si="1"/>
        <v>3500</v>
      </c>
    </row>
    <row r="112" spans="1:5" x14ac:dyDescent="0.25">
      <c r="A112" s="42" t="s">
        <v>725</v>
      </c>
      <c r="B112" s="46">
        <v>4.0999999999999996</v>
      </c>
      <c r="C112" s="43" t="s">
        <v>3</v>
      </c>
      <c r="D112" s="2">
        <v>14.47</v>
      </c>
      <c r="E112" s="43">
        <f t="shared" si="1"/>
        <v>4100</v>
      </c>
    </row>
    <row r="113" spans="1:5" x14ac:dyDescent="0.25">
      <c r="A113" s="42" t="s">
        <v>722</v>
      </c>
      <c r="B113" s="46">
        <v>3.6</v>
      </c>
      <c r="C113" s="43" t="s">
        <v>3</v>
      </c>
      <c r="D113" s="2">
        <v>14.33</v>
      </c>
      <c r="E113" s="43">
        <f t="shared" si="1"/>
        <v>3600</v>
      </c>
    </row>
    <row r="114" spans="1:5" x14ac:dyDescent="0.25">
      <c r="A114" s="42" t="s">
        <v>719</v>
      </c>
      <c r="B114" s="46">
        <v>3.5</v>
      </c>
      <c r="C114" s="43" t="s">
        <v>5</v>
      </c>
      <c r="D114" s="2">
        <v>14.27</v>
      </c>
      <c r="E114" s="43">
        <f t="shared" si="1"/>
        <v>3500</v>
      </c>
    </row>
    <row r="115" spans="1:5" x14ac:dyDescent="0.25">
      <c r="A115" s="42" t="s">
        <v>747</v>
      </c>
      <c r="B115" s="46">
        <v>4.0999999999999996</v>
      </c>
      <c r="C115" s="43" t="s">
        <v>6</v>
      </c>
      <c r="D115" s="2">
        <v>13.89</v>
      </c>
      <c r="E115" s="43">
        <f t="shared" si="1"/>
        <v>4100</v>
      </c>
    </row>
    <row r="116" spans="1:5" x14ac:dyDescent="0.25">
      <c r="A116" s="42" t="s">
        <v>759</v>
      </c>
      <c r="B116" s="46">
        <v>4</v>
      </c>
      <c r="C116" s="43" t="s">
        <v>6</v>
      </c>
      <c r="D116" s="2">
        <v>13.69</v>
      </c>
      <c r="E116" s="43">
        <f t="shared" si="1"/>
        <v>4000</v>
      </c>
    </row>
    <row r="117" spans="1:5" x14ac:dyDescent="0.25">
      <c r="A117" s="42" t="s">
        <v>727</v>
      </c>
      <c r="B117" s="46">
        <v>3.5</v>
      </c>
      <c r="C117" s="43" t="s">
        <v>3</v>
      </c>
      <c r="D117" s="2">
        <v>13.66</v>
      </c>
      <c r="E117" s="43">
        <f t="shared" si="1"/>
        <v>3500</v>
      </c>
    </row>
    <row r="118" spans="1:5" x14ac:dyDescent="0.25">
      <c r="A118" s="42" t="s">
        <v>740</v>
      </c>
      <c r="B118" s="46">
        <v>4.2</v>
      </c>
      <c r="C118" s="43" t="s">
        <v>3</v>
      </c>
      <c r="D118" s="2">
        <v>13.51</v>
      </c>
      <c r="E118" s="43">
        <f t="shared" si="1"/>
        <v>4200</v>
      </c>
    </row>
    <row r="119" spans="1:5" x14ac:dyDescent="0.25">
      <c r="A119" s="42" t="s">
        <v>745</v>
      </c>
      <c r="B119" s="46">
        <v>4.3</v>
      </c>
      <c r="C119" s="43" t="s">
        <v>5</v>
      </c>
      <c r="D119" s="2">
        <v>13.12</v>
      </c>
      <c r="E119" s="43">
        <f t="shared" si="1"/>
        <v>4300</v>
      </c>
    </row>
    <row r="120" spans="1:5" x14ac:dyDescent="0.25">
      <c r="A120" s="42" t="s">
        <v>749</v>
      </c>
      <c r="B120" s="46">
        <v>3.5</v>
      </c>
      <c r="C120" s="43" t="s">
        <v>5</v>
      </c>
      <c r="D120" s="2">
        <v>13.1</v>
      </c>
      <c r="E120" s="43">
        <f t="shared" si="1"/>
        <v>3500</v>
      </c>
    </row>
    <row r="121" spans="1:5" x14ac:dyDescent="0.25">
      <c r="A121" s="42" t="s">
        <v>730</v>
      </c>
      <c r="B121" s="46">
        <v>3.5</v>
      </c>
      <c r="C121" s="43" t="s">
        <v>6</v>
      </c>
      <c r="D121" s="2">
        <v>13.04</v>
      </c>
      <c r="E121" s="43">
        <f t="shared" si="1"/>
        <v>3500</v>
      </c>
    </row>
    <row r="122" spans="1:5" x14ac:dyDescent="0.25">
      <c r="A122" s="42" t="s">
        <v>695</v>
      </c>
      <c r="B122" s="46">
        <v>5.7</v>
      </c>
      <c r="C122" s="43" t="s">
        <v>3</v>
      </c>
      <c r="D122" s="2">
        <v>12.61</v>
      </c>
      <c r="E122" s="43">
        <f t="shared" si="1"/>
        <v>5700</v>
      </c>
    </row>
    <row r="123" spans="1:5" x14ac:dyDescent="0.25">
      <c r="A123" s="42" t="s">
        <v>773</v>
      </c>
      <c r="B123" s="46">
        <v>3.5</v>
      </c>
      <c r="C123" s="43" t="s">
        <v>8</v>
      </c>
      <c r="D123" s="2">
        <v>12.57</v>
      </c>
      <c r="E123" s="43">
        <f t="shared" si="1"/>
        <v>3500</v>
      </c>
    </row>
    <row r="124" spans="1:5" x14ac:dyDescent="0.25">
      <c r="A124" s="42" t="s">
        <v>733</v>
      </c>
      <c r="B124" s="46">
        <v>3.5</v>
      </c>
      <c r="C124" s="43" t="s">
        <v>8</v>
      </c>
      <c r="D124" s="2">
        <v>12.48</v>
      </c>
      <c r="E124" s="43">
        <f t="shared" si="1"/>
        <v>3500</v>
      </c>
    </row>
    <row r="125" spans="1:5" x14ac:dyDescent="0.25">
      <c r="A125" s="42" t="s">
        <v>734</v>
      </c>
      <c r="B125" s="46">
        <v>3.5</v>
      </c>
      <c r="C125" s="43" t="s">
        <v>5</v>
      </c>
      <c r="D125" s="2">
        <v>12.37</v>
      </c>
      <c r="E125" s="43">
        <f t="shared" si="1"/>
        <v>3500</v>
      </c>
    </row>
    <row r="126" spans="1:5" x14ac:dyDescent="0.25">
      <c r="A126" s="42" t="s">
        <v>757</v>
      </c>
      <c r="B126" s="46">
        <v>3.5</v>
      </c>
      <c r="C126" s="43" t="s">
        <v>5</v>
      </c>
      <c r="D126" s="2">
        <v>12.29</v>
      </c>
      <c r="E126" s="43">
        <f t="shared" si="1"/>
        <v>3500</v>
      </c>
    </row>
    <row r="127" spans="1:5" x14ac:dyDescent="0.25">
      <c r="A127" s="42" t="s">
        <v>793</v>
      </c>
      <c r="B127" s="46">
        <v>4.4000000000000004</v>
      </c>
      <c r="C127" s="43" t="s">
        <v>8</v>
      </c>
      <c r="D127" s="2">
        <v>12.25</v>
      </c>
      <c r="E127" s="43">
        <f t="shared" si="1"/>
        <v>4400</v>
      </c>
    </row>
    <row r="128" spans="1:5" x14ac:dyDescent="0.25">
      <c r="A128" s="42" t="s">
        <v>767</v>
      </c>
      <c r="B128" s="46">
        <v>3.5</v>
      </c>
      <c r="C128" s="43" t="s">
        <v>8</v>
      </c>
      <c r="D128" s="2">
        <v>11.76</v>
      </c>
      <c r="E128" s="43">
        <f t="shared" si="1"/>
        <v>3500</v>
      </c>
    </row>
    <row r="129" spans="1:5" x14ac:dyDescent="0.25">
      <c r="A129" s="42" t="s">
        <v>737</v>
      </c>
      <c r="B129" s="46">
        <v>3.5</v>
      </c>
      <c r="C129" s="43" t="s">
        <v>8</v>
      </c>
      <c r="D129" s="2">
        <v>11.66</v>
      </c>
      <c r="E129" s="43">
        <f t="shared" si="1"/>
        <v>3500</v>
      </c>
    </row>
    <row r="130" spans="1:5" x14ac:dyDescent="0.25">
      <c r="A130" s="42" t="s">
        <v>794</v>
      </c>
      <c r="B130" s="46">
        <v>3.5</v>
      </c>
      <c r="C130" s="43" t="s">
        <v>7</v>
      </c>
      <c r="D130" s="2">
        <v>11.1</v>
      </c>
      <c r="E130" s="43">
        <f t="shared" si="1"/>
        <v>3500</v>
      </c>
    </row>
    <row r="131" spans="1:5" x14ac:dyDescent="0.25">
      <c r="A131" s="42" t="s">
        <v>741</v>
      </c>
      <c r="B131" s="46">
        <v>3.5</v>
      </c>
      <c r="C131" s="43" t="s">
        <v>5</v>
      </c>
      <c r="D131" s="2">
        <v>10.95</v>
      </c>
      <c r="E131" s="43">
        <f t="shared" ref="E131:E159" si="2">B131*1000</f>
        <v>3500</v>
      </c>
    </row>
    <row r="132" spans="1:5" x14ac:dyDescent="0.25">
      <c r="A132" s="42" t="s">
        <v>744</v>
      </c>
      <c r="B132" s="46">
        <v>3.5</v>
      </c>
      <c r="C132" s="43" t="s">
        <v>5</v>
      </c>
      <c r="D132" s="2">
        <v>10.75</v>
      </c>
      <c r="E132" s="43">
        <f t="shared" si="2"/>
        <v>3500</v>
      </c>
    </row>
    <row r="133" spans="1:5" x14ac:dyDescent="0.25">
      <c r="A133" s="42" t="s">
        <v>750</v>
      </c>
      <c r="B133" s="46">
        <v>3.7</v>
      </c>
      <c r="C133" s="43" t="s">
        <v>8</v>
      </c>
      <c r="D133" s="2">
        <v>10.49</v>
      </c>
      <c r="E133" s="43">
        <f t="shared" si="2"/>
        <v>3700</v>
      </c>
    </row>
    <row r="134" spans="1:5" x14ac:dyDescent="0.25">
      <c r="A134" s="42" t="s">
        <v>775</v>
      </c>
      <c r="B134" s="46">
        <v>3.5</v>
      </c>
      <c r="C134" s="43" t="s">
        <v>8</v>
      </c>
      <c r="D134" s="2">
        <v>10.42</v>
      </c>
      <c r="E134" s="43">
        <f t="shared" si="2"/>
        <v>3500</v>
      </c>
    </row>
    <row r="135" spans="1:5" x14ac:dyDescent="0.25">
      <c r="A135" s="42" t="s">
        <v>746</v>
      </c>
      <c r="B135" s="46">
        <v>3.5</v>
      </c>
      <c r="C135" s="43" t="s">
        <v>6</v>
      </c>
      <c r="D135" s="2">
        <v>10.37</v>
      </c>
      <c r="E135" s="43">
        <f t="shared" si="2"/>
        <v>3500</v>
      </c>
    </row>
    <row r="136" spans="1:5" x14ac:dyDescent="0.25">
      <c r="A136" s="42" t="s">
        <v>753</v>
      </c>
      <c r="B136" s="46">
        <v>3.7</v>
      </c>
      <c r="C136" s="43" t="s">
        <v>7</v>
      </c>
      <c r="D136" s="2">
        <v>10.24</v>
      </c>
      <c r="E136" s="43">
        <f t="shared" si="2"/>
        <v>3700</v>
      </c>
    </row>
    <row r="137" spans="1:5" x14ac:dyDescent="0.25">
      <c r="A137" s="42" t="s">
        <v>751</v>
      </c>
      <c r="B137" s="46">
        <v>3.6</v>
      </c>
      <c r="C137" s="43" t="s">
        <v>7</v>
      </c>
      <c r="D137" s="2">
        <v>10.17</v>
      </c>
      <c r="E137" s="43">
        <f t="shared" si="2"/>
        <v>3600</v>
      </c>
    </row>
    <row r="138" spans="1:5" x14ac:dyDescent="0.25">
      <c r="A138" s="42" t="s">
        <v>748</v>
      </c>
      <c r="B138" s="46">
        <v>3.5</v>
      </c>
      <c r="C138" s="43" t="s">
        <v>6</v>
      </c>
      <c r="D138" s="2">
        <v>10.17</v>
      </c>
      <c r="E138" s="43">
        <f t="shared" si="2"/>
        <v>3500</v>
      </c>
    </row>
    <row r="139" spans="1:5" x14ac:dyDescent="0.25">
      <c r="A139" s="42" t="s">
        <v>752</v>
      </c>
      <c r="B139" s="47">
        <v>3.5</v>
      </c>
      <c r="C139" s="43" t="s">
        <v>6</v>
      </c>
      <c r="D139" s="2">
        <v>9.76</v>
      </c>
      <c r="E139" s="43">
        <f t="shared" si="2"/>
        <v>3500</v>
      </c>
    </row>
    <row r="140" spans="1:5" x14ac:dyDescent="0.25">
      <c r="A140" s="42" t="s">
        <v>754</v>
      </c>
      <c r="B140" s="47">
        <v>3.5</v>
      </c>
      <c r="C140" s="43" t="s">
        <v>8</v>
      </c>
      <c r="D140" s="2">
        <v>9.7100000000000009</v>
      </c>
      <c r="E140" s="43">
        <f t="shared" si="2"/>
        <v>3500</v>
      </c>
    </row>
    <row r="141" spans="1:5" x14ac:dyDescent="0.25">
      <c r="A141" s="42" t="s">
        <v>769</v>
      </c>
      <c r="B141" s="47">
        <v>3.5</v>
      </c>
      <c r="C141" s="43" t="s">
        <v>3</v>
      </c>
      <c r="D141" s="2">
        <v>9.66</v>
      </c>
      <c r="E141" s="43">
        <f t="shared" si="2"/>
        <v>3500</v>
      </c>
    </row>
    <row r="142" spans="1:5" x14ac:dyDescent="0.25">
      <c r="A142" s="42" t="s">
        <v>755</v>
      </c>
      <c r="B142" s="47">
        <v>3.5</v>
      </c>
      <c r="C142" s="43" t="s">
        <v>5</v>
      </c>
      <c r="D142" s="2">
        <v>9.5500000000000007</v>
      </c>
      <c r="E142" s="43">
        <f t="shared" si="2"/>
        <v>3500</v>
      </c>
    </row>
    <row r="143" spans="1:5" x14ac:dyDescent="0.25">
      <c r="A143" s="42" t="s">
        <v>770</v>
      </c>
      <c r="B143" s="47">
        <v>3.7</v>
      </c>
      <c r="C143" s="43" t="s">
        <v>7</v>
      </c>
      <c r="D143" s="2">
        <v>9.41</v>
      </c>
      <c r="E143" s="43">
        <f t="shared" si="2"/>
        <v>3700</v>
      </c>
    </row>
    <row r="144" spans="1:5" x14ac:dyDescent="0.25">
      <c r="A144" s="42" t="s">
        <v>768</v>
      </c>
      <c r="B144" s="47">
        <v>3.5</v>
      </c>
      <c r="C144" s="43" t="s">
        <v>8</v>
      </c>
      <c r="D144" s="2">
        <v>9.3800000000000008</v>
      </c>
      <c r="E144" s="43">
        <f t="shared" si="2"/>
        <v>3500</v>
      </c>
    </row>
    <row r="145" spans="1:5" x14ac:dyDescent="0.25">
      <c r="A145" s="42" t="s">
        <v>758</v>
      </c>
      <c r="B145" s="47">
        <v>3.5</v>
      </c>
      <c r="C145" s="43" t="s">
        <v>5</v>
      </c>
      <c r="D145" s="2">
        <v>9.31</v>
      </c>
      <c r="E145" s="43">
        <f t="shared" si="2"/>
        <v>3500</v>
      </c>
    </row>
    <row r="146" spans="1:5" x14ac:dyDescent="0.25">
      <c r="A146" s="42" t="s">
        <v>764</v>
      </c>
      <c r="B146" s="47">
        <v>3.6</v>
      </c>
      <c r="C146" s="43" t="s">
        <v>5</v>
      </c>
      <c r="D146" s="2">
        <v>9.24</v>
      </c>
      <c r="E146" s="43">
        <f t="shared" si="2"/>
        <v>3600</v>
      </c>
    </row>
    <row r="147" spans="1:5" x14ac:dyDescent="0.25">
      <c r="A147" s="42" t="s">
        <v>760</v>
      </c>
      <c r="B147" s="47">
        <v>3.5</v>
      </c>
      <c r="C147" s="43" t="s">
        <v>6</v>
      </c>
      <c r="D147" s="2">
        <v>9.15</v>
      </c>
      <c r="E147" s="43">
        <f t="shared" si="2"/>
        <v>3500</v>
      </c>
    </row>
    <row r="148" spans="1:5" x14ac:dyDescent="0.25">
      <c r="A148" s="42" t="s">
        <v>761</v>
      </c>
      <c r="B148" s="47">
        <v>3.5</v>
      </c>
      <c r="C148" s="43" t="s">
        <v>3</v>
      </c>
      <c r="D148" s="2">
        <v>9.06</v>
      </c>
      <c r="E148" s="43">
        <f t="shared" si="2"/>
        <v>3500</v>
      </c>
    </row>
    <row r="149" spans="1:5" x14ac:dyDescent="0.25">
      <c r="A149" s="42" t="s">
        <v>795</v>
      </c>
      <c r="B149" s="47">
        <v>3.5</v>
      </c>
      <c r="C149" s="43" t="s">
        <v>5</v>
      </c>
      <c r="D149" s="2">
        <v>9.0500000000000007</v>
      </c>
      <c r="E149" s="43">
        <f t="shared" si="2"/>
        <v>3500</v>
      </c>
    </row>
    <row r="150" spans="1:5" x14ac:dyDescent="0.25">
      <c r="A150" s="42" t="s">
        <v>762</v>
      </c>
      <c r="B150" s="47">
        <v>3.5</v>
      </c>
      <c r="C150" s="43" t="s">
        <v>3</v>
      </c>
      <c r="D150" s="2">
        <v>9.0399999999999991</v>
      </c>
      <c r="E150" s="43">
        <f t="shared" si="2"/>
        <v>3500</v>
      </c>
    </row>
    <row r="151" spans="1:5" x14ac:dyDescent="0.25">
      <c r="A151" s="42" t="s">
        <v>763</v>
      </c>
      <c r="B151" s="47">
        <v>3.5</v>
      </c>
      <c r="C151" s="43" t="s">
        <v>8</v>
      </c>
      <c r="D151" s="2">
        <v>8.98</v>
      </c>
      <c r="E151" s="43">
        <f t="shared" si="2"/>
        <v>3500</v>
      </c>
    </row>
    <row r="152" spans="1:5" x14ac:dyDescent="0.25">
      <c r="A152" s="42" t="s">
        <v>796</v>
      </c>
      <c r="B152" s="47">
        <v>3.5</v>
      </c>
      <c r="C152" s="43" t="s">
        <v>3</v>
      </c>
      <c r="D152" s="2">
        <v>8.6</v>
      </c>
      <c r="E152" s="43">
        <f t="shared" si="2"/>
        <v>3500</v>
      </c>
    </row>
    <row r="153" spans="1:5" x14ac:dyDescent="0.25">
      <c r="A153" s="42" t="s">
        <v>772</v>
      </c>
      <c r="B153" s="47">
        <v>4.7</v>
      </c>
      <c r="C153" s="43" t="s">
        <v>7</v>
      </c>
      <c r="D153" s="2">
        <v>8.34</v>
      </c>
      <c r="E153" s="43">
        <f t="shared" si="2"/>
        <v>4700</v>
      </c>
    </row>
    <row r="154" spans="1:5" x14ac:dyDescent="0.25">
      <c r="A154" s="42" t="s">
        <v>765</v>
      </c>
      <c r="B154" s="47">
        <v>3.5</v>
      </c>
      <c r="C154" s="43" t="s">
        <v>7</v>
      </c>
      <c r="D154" s="2">
        <v>8.31</v>
      </c>
      <c r="E154" s="43">
        <f t="shared" si="2"/>
        <v>3500</v>
      </c>
    </row>
    <row r="155" spans="1:5" x14ac:dyDescent="0.25">
      <c r="A155" s="42" t="s">
        <v>766</v>
      </c>
      <c r="B155" s="47">
        <v>3.5</v>
      </c>
      <c r="C155" s="43" t="s">
        <v>6</v>
      </c>
      <c r="D155" s="2">
        <v>8.19</v>
      </c>
      <c r="E155" s="43">
        <f t="shared" si="2"/>
        <v>3500</v>
      </c>
    </row>
    <row r="156" spans="1:5" x14ac:dyDescent="0.25">
      <c r="A156" s="42" t="s">
        <v>797</v>
      </c>
      <c r="B156" s="47">
        <v>3.5</v>
      </c>
      <c r="C156" s="43" t="s">
        <v>6</v>
      </c>
      <c r="D156" s="2">
        <v>7.96</v>
      </c>
      <c r="E156" s="43">
        <f t="shared" si="2"/>
        <v>3500</v>
      </c>
    </row>
    <row r="157" spans="1:5" x14ac:dyDescent="0.25">
      <c r="A157" s="42" t="s">
        <v>798</v>
      </c>
      <c r="B157" s="47">
        <v>3.5</v>
      </c>
      <c r="C157" s="43" t="s">
        <v>6</v>
      </c>
      <c r="D157" s="2">
        <v>7.55</v>
      </c>
      <c r="E157" s="43">
        <f t="shared" si="2"/>
        <v>3500</v>
      </c>
    </row>
    <row r="158" spans="1:5" x14ac:dyDescent="0.25">
      <c r="A158" s="42" t="s">
        <v>799</v>
      </c>
      <c r="B158" s="47">
        <v>3.5</v>
      </c>
      <c r="C158" s="43" t="s">
        <v>5</v>
      </c>
      <c r="D158" s="2">
        <v>7.3</v>
      </c>
      <c r="E158" s="43">
        <f t="shared" si="2"/>
        <v>3500</v>
      </c>
    </row>
    <row r="159" spans="1:5" x14ac:dyDescent="0.25">
      <c r="A159" s="42" t="s">
        <v>771</v>
      </c>
      <c r="B159" s="47">
        <v>3.5</v>
      </c>
      <c r="C159" s="2" t="s">
        <v>6</v>
      </c>
      <c r="D159" s="2">
        <v>6.49</v>
      </c>
      <c r="E159" s="43">
        <f t="shared" si="2"/>
        <v>3500</v>
      </c>
    </row>
    <row r="160" spans="1:5" x14ac:dyDescent="0.25">
      <c r="E160" s="43"/>
    </row>
    <row r="161" spans="5:5" x14ac:dyDescent="0.25">
      <c r="E161" s="43"/>
    </row>
    <row r="162" spans="5:5" x14ac:dyDescent="0.25">
      <c r="E162" s="43"/>
    </row>
    <row r="163" spans="5:5" x14ac:dyDescent="0.25">
      <c r="E163" s="43"/>
    </row>
    <row r="164" spans="5:5" x14ac:dyDescent="0.25">
      <c r="E164" s="43"/>
    </row>
    <row r="165" spans="5:5" x14ac:dyDescent="0.25">
      <c r="E165" s="43"/>
    </row>
    <row r="166" spans="5:5" x14ac:dyDescent="0.25">
      <c r="E166" s="43"/>
    </row>
    <row r="167" spans="5:5" x14ac:dyDescent="0.25">
      <c r="E167" s="43"/>
    </row>
    <row r="168" spans="5:5" x14ac:dyDescent="0.25">
      <c r="E168" s="43"/>
    </row>
    <row r="169" spans="5:5" x14ac:dyDescent="0.25">
      <c r="E169" s="43"/>
    </row>
    <row r="170" spans="5:5" x14ac:dyDescent="0.25">
      <c r="E170" s="43"/>
    </row>
    <row r="171" spans="5:5" x14ac:dyDescent="0.25">
      <c r="E171" s="43"/>
    </row>
    <row r="172" spans="5:5" x14ac:dyDescent="0.25">
      <c r="E172" s="43"/>
    </row>
    <row r="173" spans="5:5" x14ac:dyDescent="0.25">
      <c r="E173" s="43"/>
    </row>
    <row r="174" spans="5:5" x14ac:dyDescent="0.25">
      <c r="E174" s="43"/>
    </row>
    <row r="175" spans="5:5" x14ac:dyDescent="0.25">
      <c r="E175" s="43"/>
    </row>
    <row r="176" spans="5:5" x14ac:dyDescent="0.25">
      <c r="E176" s="43"/>
    </row>
    <row r="177" spans="5:5" x14ac:dyDescent="0.25">
      <c r="E177" s="43"/>
    </row>
    <row r="178" spans="5:5" x14ac:dyDescent="0.25">
      <c r="E178" s="43"/>
    </row>
    <row r="179" spans="5:5" x14ac:dyDescent="0.25">
      <c r="E179" s="43"/>
    </row>
    <row r="180" spans="5:5" x14ac:dyDescent="0.25">
      <c r="E180" s="43"/>
    </row>
    <row r="181" spans="5:5" x14ac:dyDescent="0.25">
      <c r="E181" s="43"/>
    </row>
    <row r="182" spans="5:5" x14ac:dyDescent="0.25">
      <c r="E182" s="43"/>
    </row>
    <row r="183" spans="5:5" x14ac:dyDescent="0.25">
      <c r="E183" s="43"/>
    </row>
    <row r="184" spans="5:5" x14ac:dyDescent="0.25">
      <c r="E184" s="43"/>
    </row>
    <row r="185" spans="5:5" x14ac:dyDescent="0.25">
      <c r="E185" s="43"/>
    </row>
    <row r="186" spans="5:5" x14ac:dyDescent="0.25">
      <c r="E186" s="43"/>
    </row>
    <row r="187" spans="5:5" x14ac:dyDescent="0.25">
      <c r="E187" s="43"/>
    </row>
    <row r="188" spans="5:5" x14ac:dyDescent="0.25">
      <c r="E188" s="43"/>
    </row>
    <row r="189" spans="5:5" x14ac:dyDescent="0.25">
      <c r="E189" s="43"/>
    </row>
    <row r="190" spans="5:5" x14ac:dyDescent="0.25">
      <c r="E190" s="43"/>
    </row>
    <row r="191" spans="5:5" x14ac:dyDescent="0.25">
      <c r="E191" s="43"/>
    </row>
    <row r="192" spans="5:5" x14ac:dyDescent="0.25">
      <c r="E192" s="43"/>
    </row>
    <row r="193" spans="5:5" x14ac:dyDescent="0.25">
      <c r="E193" s="43"/>
    </row>
    <row r="194" spans="5:5" x14ac:dyDescent="0.25">
      <c r="E194" s="43"/>
    </row>
    <row r="195" spans="5:5" x14ac:dyDescent="0.25">
      <c r="E195" s="43"/>
    </row>
    <row r="196" spans="5:5" x14ac:dyDescent="0.25">
      <c r="E196" s="43"/>
    </row>
    <row r="197" spans="5:5" x14ac:dyDescent="0.25">
      <c r="E197" s="43"/>
    </row>
    <row r="198" spans="5:5" x14ac:dyDescent="0.25">
      <c r="E198" s="43"/>
    </row>
    <row r="199" spans="5:5" x14ac:dyDescent="0.25">
      <c r="E199" s="43"/>
    </row>
    <row r="200" spans="5:5" x14ac:dyDescent="0.25">
      <c r="E200" s="43"/>
    </row>
    <row r="201" spans="5:5" x14ac:dyDescent="0.25">
      <c r="E201" s="43"/>
    </row>
    <row r="202" spans="5:5" x14ac:dyDescent="0.25">
      <c r="E202" s="43"/>
    </row>
    <row r="203" spans="5:5" x14ac:dyDescent="0.25">
      <c r="E203" s="43"/>
    </row>
    <row r="204" spans="5:5" x14ac:dyDescent="0.25">
      <c r="E204" s="43"/>
    </row>
    <row r="205" spans="5:5" x14ac:dyDescent="0.25">
      <c r="E205" s="43"/>
    </row>
    <row r="206" spans="5:5" x14ac:dyDescent="0.25">
      <c r="E206" s="43"/>
    </row>
    <row r="207" spans="5:5" x14ac:dyDescent="0.25">
      <c r="E207" s="43"/>
    </row>
    <row r="208" spans="5:5" x14ac:dyDescent="0.25">
      <c r="E208" s="43"/>
    </row>
    <row r="209" spans="5:5" x14ac:dyDescent="0.25">
      <c r="E209" s="43"/>
    </row>
    <row r="210" spans="5:5" x14ac:dyDescent="0.25">
      <c r="E210" s="43"/>
    </row>
    <row r="211" spans="5:5" x14ac:dyDescent="0.25">
      <c r="E211" s="43"/>
    </row>
    <row r="212" spans="5:5" x14ac:dyDescent="0.25">
      <c r="E212" s="43"/>
    </row>
    <row r="213" spans="5:5" x14ac:dyDescent="0.25">
      <c r="E213" s="43"/>
    </row>
    <row r="214" spans="5:5" x14ac:dyDescent="0.25">
      <c r="E214" s="43"/>
    </row>
    <row r="215" spans="5:5" x14ac:dyDescent="0.25">
      <c r="E215" s="43"/>
    </row>
    <row r="216" spans="5:5" x14ac:dyDescent="0.25">
      <c r="E216" s="43"/>
    </row>
    <row r="217" spans="5:5" x14ac:dyDescent="0.25">
      <c r="E217" s="43"/>
    </row>
    <row r="218" spans="5:5" x14ac:dyDescent="0.25">
      <c r="E218" s="43"/>
    </row>
    <row r="219" spans="5:5" x14ac:dyDescent="0.25">
      <c r="E219" s="43"/>
    </row>
    <row r="220" spans="5:5" x14ac:dyDescent="0.25">
      <c r="E220" s="43"/>
    </row>
    <row r="221" spans="5:5" x14ac:dyDescent="0.25">
      <c r="E221" s="43"/>
    </row>
    <row r="222" spans="5:5" x14ac:dyDescent="0.25">
      <c r="E222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DraftKings Basketball  Solver</vt:lpstr>
      <vt:lpstr>RawData</vt:lpstr>
      <vt:lpstr>Sheet1</vt:lpstr>
      <vt:lpstr>Projections</vt:lpstr>
      <vt:lpstr>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2017-02-12T04:28:36Z</dcterms:modified>
</cp:coreProperties>
</file>