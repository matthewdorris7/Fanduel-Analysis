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College\Algorithms\"/>
    </mc:Choice>
  </mc:AlternateContent>
  <bookViews>
    <workbookView xWindow="0" yWindow="0" windowWidth="20490" windowHeight="7530" activeTab="2"/>
  </bookViews>
  <sheets>
    <sheet name="Fanduel MLB Solver" sheetId="2" r:id="rId1"/>
    <sheet name="Optimizer" sheetId="4" r:id="rId2"/>
    <sheet name="Pitchers1" sheetId="25" r:id="rId3"/>
    <sheet name="Batters1" sheetId="24" r:id="rId4"/>
    <sheet name="Pitchers" sheetId="16" r:id="rId5"/>
    <sheet name="Batters" sheetId="17" r:id="rId6"/>
  </sheets>
  <definedNames>
    <definedName name="_xlnm._FilterDatabase" localSheetId="0" hidden="1">'Fanduel MLB Solver'!$A$1:$D$340</definedName>
    <definedName name="solver_adj" localSheetId="0" hidden="1">'Fanduel MLB Solver'!$C$2:$C$200</definedName>
    <definedName name="solver_cvg" localSheetId="0" hidden="1">0.0001</definedName>
    <definedName name="solver_drv" localSheetId="0" hidden="1">2</definedName>
    <definedName name="solver_eng" localSheetId="0" hidden="1">2</definedName>
    <definedName name="solver_eng" localSheetId="1" hidden="1">1</definedName>
    <definedName name="solver_est" localSheetId="0" hidden="1">1</definedName>
    <definedName name="solver_itr" localSheetId="0" hidden="1">2147483647</definedName>
    <definedName name="solver_lhs0" localSheetId="0" hidden="1">'Fanduel MLB Solver'!$R$4</definedName>
    <definedName name="solver_lhs1" localSheetId="0" hidden="1">'Fanduel MLB Solver'!$R$8</definedName>
    <definedName name="solver_lhs10" localSheetId="0" hidden="1">'Fanduel MLB Solver'!$R$2</definedName>
    <definedName name="solver_lhs11" localSheetId="0" hidden="1">'Fanduel MLB Solver'!$R$7</definedName>
    <definedName name="solver_lhs12" localSheetId="0" hidden="1">'Fanduel MLB Solver'!$R$6</definedName>
    <definedName name="solver_lhs13" localSheetId="0" hidden="1">'Fanduel MLB Solver'!$R$7</definedName>
    <definedName name="solver_lhs14" localSheetId="0" hidden="1">'Fanduel MLB Solver'!#REF!</definedName>
    <definedName name="solver_lhs15" localSheetId="0" hidden="1">'Fanduel MLB Solver'!$R$7</definedName>
    <definedName name="solver_lhs16" localSheetId="0" hidden="1">'Fanduel MLB Solver'!$R$5</definedName>
    <definedName name="solver_lhs17" localSheetId="0" hidden="1">'Fanduel MLB Solver'!#REF!</definedName>
    <definedName name="solver_lhs2" localSheetId="0" hidden="1">'Fanduel MLB Solver'!$Q$10</definedName>
    <definedName name="solver_lhs3" localSheetId="0" hidden="1">'Fanduel MLB Solver'!$C$2:$C$200</definedName>
    <definedName name="solver_lhs4" localSheetId="0" hidden="1">'Fanduel MLB Solver'!$R$6</definedName>
    <definedName name="solver_lhs5" localSheetId="0" hidden="1">'Fanduel MLB Solver'!$R$3</definedName>
    <definedName name="solver_lhs6" localSheetId="0" hidden="1">'Fanduel MLB Solver'!$R$4</definedName>
    <definedName name="solver_lhs7" localSheetId="0" hidden="1">'Fanduel MLB Solver'!$R$5</definedName>
    <definedName name="solver_lhs8" localSheetId="0" hidden="1">'Fanduel MLB Solver'!$Q$16</definedName>
    <definedName name="solver_lhs9" localSheetId="0" hidden="1">'Fanduel MLB Solver'!$R$7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eg" localSheetId="1" hidden="1">1</definedName>
    <definedName name="solver_nod" localSheetId="0" hidden="1">2147483647</definedName>
    <definedName name="solver_num" localSheetId="0" hidden="1">10</definedName>
    <definedName name="solver_num" localSheetId="1" hidden="1">0</definedName>
    <definedName name="solver_nwt" localSheetId="0" hidden="1">1</definedName>
    <definedName name="solver_opt" localSheetId="0" hidden="1">'Fanduel MLB Solver'!$Q$13</definedName>
    <definedName name="solver_opt" localSheetId="1" hidden="1">Optimizer!$D$15</definedName>
    <definedName name="solver_pre" localSheetId="0" hidden="1">0.000001</definedName>
    <definedName name="solver_rbv" localSheetId="0" hidden="1">2</definedName>
    <definedName name="solver_rel0" localSheetId="0" hidden="1">1</definedName>
    <definedName name="solver_rel1" localSheetId="0" hidden="1">2</definedName>
    <definedName name="solver_rel10" localSheetId="0" hidden="1">2</definedName>
    <definedName name="solver_rel11" localSheetId="0" hidden="1">1</definedName>
    <definedName name="solver_rel12" localSheetId="0" hidden="1">1</definedName>
    <definedName name="solver_rel13" localSheetId="0" hidden="1">3</definedName>
    <definedName name="solver_rel14" localSheetId="0" hidden="1">1</definedName>
    <definedName name="solver_rel15" localSheetId="0" hidden="1">3</definedName>
    <definedName name="solver_rel16" localSheetId="0" hidden="1">1</definedName>
    <definedName name="solver_rel17" localSheetId="0" hidden="1">3</definedName>
    <definedName name="solver_rel2" localSheetId="0" hidden="1">1</definedName>
    <definedName name="solver_rel3" localSheetId="0" hidden="1">5</definedName>
    <definedName name="solver_rel4" localSheetId="0" hidden="1">2</definedName>
    <definedName name="solver_rel5" localSheetId="0" hidden="1">2</definedName>
    <definedName name="solver_rel6" localSheetId="0" hidden="1">2</definedName>
    <definedName name="solver_rel7" localSheetId="0" hidden="1">2</definedName>
    <definedName name="solver_rel8" localSheetId="0" hidden="1">2</definedName>
    <definedName name="solver_rel9" localSheetId="0" hidden="1">2</definedName>
    <definedName name="solver_rhs0" localSheetId="0" hidden="1">'Fanduel MLB Solver'!$Q$4</definedName>
    <definedName name="solver_rhs1" localSheetId="0" hidden="1">'Fanduel MLB Solver'!$Q$8</definedName>
    <definedName name="solver_rhs10" localSheetId="0" hidden="1">'Fanduel MLB Solver'!$Q$2</definedName>
    <definedName name="solver_rhs11" localSheetId="0" hidden="1">'Fanduel MLB Solver'!$Q$7</definedName>
    <definedName name="solver_rhs12" localSheetId="0" hidden="1">'Fanduel MLB Solver'!$Q$6</definedName>
    <definedName name="solver_rhs13" localSheetId="0" hidden="1">'Fanduel MLB Solver'!#REF!</definedName>
    <definedName name="solver_rhs14" localSheetId="0" hidden="1">'Fanduel MLB Solver'!#REF!</definedName>
    <definedName name="solver_rhs15" localSheetId="0" hidden="1">'Fanduel MLB Solver'!#REF!</definedName>
    <definedName name="solver_rhs16" localSheetId="0" hidden="1">'Fanduel MLB Solver'!$Q$5</definedName>
    <definedName name="solver_rhs17" localSheetId="0" hidden="1">'Fanduel MLB Solver'!#REF!</definedName>
    <definedName name="solver_rhs2" localSheetId="0" hidden="1">'Fanduel MLB Solver'!$Q$11</definedName>
    <definedName name="solver_rhs3" localSheetId="0" hidden="1">binary</definedName>
    <definedName name="solver_rhs4" localSheetId="0" hidden="1">'Fanduel MLB Solver'!$Q$6</definedName>
    <definedName name="solver_rhs5" localSheetId="0" hidden="1">'Fanduel MLB Solver'!$Q$3</definedName>
    <definedName name="solver_rhs6" localSheetId="0" hidden="1">'Fanduel MLB Solver'!$Q$4</definedName>
    <definedName name="solver_rhs7" localSheetId="0" hidden="1">'Fanduel MLB Solver'!$Q$5</definedName>
    <definedName name="solver_rhs8" localSheetId="0" hidden="1">'Fanduel MLB Solver'!$Q$15</definedName>
    <definedName name="solver_rhs9" localSheetId="0" hidden="1">'Fanduel MLB Solver'!$Q$7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typ" localSheetId="1" hidden="1">1</definedName>
    <definedName name="solver_val" localSheetId="0" hidden="1">0</definedName>
    <definedName name="solver_val" localSheetId="1" hidden="1">0</definedName>
    <definedName name="solver_ver" localSheetId="0" hidden="1">3</definedName>
    <definedName name="solver_ver" localSheetId="1" hidden="1">3</definedName>
  </definedNames>
  <calcPr calcId="171027"/>
</workbook>
</file>

<file path=xl/calcChain.xml><?xml version="1.0" encoding="utf-8"?>
<calcChain xmlns="http://schemas.openxmlformats.org/spreadsheetml/2006/main">
  <c r="I11" i="2" l="1"/>
  <c r="I12" i="2"/>
  <c r="I13" i="2"/>
  <c r="I14" i="2"/>
  <c r="I15" i="2"/>
  <c r="H10" i="2"/>
  <c r="H11" i="2"/>
  <c r="H12" i="2"/>
  <c r="H13" i="2"/>
  <c r="H14" i="2"/>
  <c r="H15" i="2"/>
  <c r="N200" i="2" l="1"/>
  <c r="M200" i="2"/>
  <c r="L200" i="2"/>
  <c r="K200" i="2"/>
  <c r="J200" i="2"/>
  <c r="I200" i="2"/>
  <c r="H200" i="2"/>
  <c r="A200" i="2"/>
  <c r="N199" i="2"/>
  <c r="M199" i="2"/>
  <c r="L199" i="2"/>
  <c r="K199" i="2"/>
  <c r="J199" i="2"/>
  <c r="I199" i="2"/>
  <c r="H199" i="2"/>
  <c r="A199" i="2"/>
  <c r="N198" i="2"/>
  <c r="M198" i="2"/>
  <c r="L198" i="2"/>
  <c r="K198" i="2"/>
  <c r="J198" i="2"/>
  <c r="I198" i="2"/>
  <c r="H198" i="2"/>
  <c r="A198" i="2"/>
  <c r="N197" i="2"/>
  <c r="M197" i="2"/>
  <c r="L197" i="2"/>
  <c r="K197" i="2"/>
  <c r="J197" i="2"/>
  <c r="I197" i="2"/>
  <c r="H197" i="2"/>
  <c r="A197" i="2"/>
  <c r="N196" i="2"/>
  <c r="M196" i="2"/>
  <c r="L196" i="2"/>
  <c r="K196" i="2"/>
  <c r="J196" i="2"/>
  <c r="I196" i="2"/>
  <c r="H196" i="2"/>
  <c r="A196" i="2"/>
  <c r="N195" i="2"/>
  <c r="M195" i="2"/>
  <c r="L195" i="2"/>
  <c r="K195" i="2"/>
  <c r="J195" i="2"/>
  <c r="I195" i="2"/>
  <c r="H195" i="2"/>
  <c r="A195" i="2"/>
  <c r="N194" i="2"/>
  <c r="M194" i="2"/>
  <c r="L194" i="2"/>
  <c r="K194" i="2"/>
  <c r="J194" i="2"/>
  <c r="I194" i="2"/>
  <c r="H194" i="2"/>
  <c r="A194" i="2"/>
  <c r="N193" i="2"/>
  <c r="M193" i="2"/>
  <c r="L193" i="2"/>
  <c r="K193" i="2"/>
  <c r="J193" i="2"/>
  <c r="I193" i="2"/>
  <c r="H193" i="2"/>
  <c r="A193" i="2"/>
  <c r="N192" i="2"/>
  <c r="M192" i="2"/>
  <c r="L192" i="2"/>
  <c r="K192" i="2"/>
  <c r="J192" i="2"/>
  <c r="I192" i="2"/>
  <c r="H192" i="2"/>
  <c r="A192" i="2"/>
  <c r="N191" i="2"/>
  <c r="M191" i="2"/>
  <c r="L191" i="2"/>
  <c r="K191" i="2"/>
  <c r="J191" i="2"/>
  <c r="I191" i="2"/>
  <c r="H191" i="2"/>
  <c r="A191" i="2"/>
  <c r="N190" i="2"/>
  <c r="M190" i="2"/>
  <c r="L190" i="2"/>
  <c r="K190" i="2"/>
  <c r="J190" i="2"/>
  <c r="I190" i="2"/>
  <c r="H190" i="2"/>
  <c r="A190" i="2"/>
  <c r="N189" i="2"/>
  <c r="M189" i="2"/>
  <c r="L189" i="2"/>
  <c r="K189" i="2"/>
  <c r="J189" i="2"/>
  <c r="I189" i="2"/>
  <c r="H189" i="2"/>
  <c r="A189" i="2"/>
  <c r="N188" i="2"/>
  <c r="M188" i="2"/>
  <c r="L188" i="2"/>
  <c r="K188" i="2"/>
  <c r="J188" i="2"/>
  <c r="I188" i="2"/>
  <c r="H188" i="2"/>
  <c r="A188" i="2"/>
  <c r="N187" i="2"/>
  <c r="M187" i="2"/>
  <c r="L187" i="2"/>
  <c r="K187" i="2"/>
  <c r="J187" i="2"/>
  <c r="I187" i="2"/>
  <c r="H187" i="2"/>
  <c r="A187" i="2"/>
  <c r="N186" i="2"/>
  <c r="M186" i="2"/>
  <c r="L186" i="2"/>
  <c r="K186" i="2"/>
  <c r="J186" i="2"/>
  <c r="I186" i="2"/>
  <c r="H186" i="2"/>
  <c r="A186" i="2"/>
  <c r="N185" i="2"/>
  <c r="M185" i="2"/>
  <c r="L185" i="2"/>
  <c r="K185" i="2"/>
  <c r="J185" i="2"/>
  <c r="I185" i="2"/>
  <c r="H185" i="2"/>
  <c r="A185" i="2"/>
  <c r="N184" i="2"/>
  <c r="M184" i="2"/>
  <c r="L184" i="2"/>
  <c r="K184" i="2"/>
  <c r="J184" i="2"/>
  <c r="I184" i="2"/>
  <c r="H184" i="2"/>
  <c r="A184" i="2"/>
  <c r="N183" i="2"/>
  <c r="M183" i="2"/>
  <c r="L183" i="2"/>
  <c r="K183" i="2"/>
  <c r="J183" i="2"/>
  <c r="I183" i="2"/>
  <c r="H183" i="2"/>
  <c r="A183" i="2"/>
  <c r="N182" i="2"/>
  <c r="M182" i="2"/>
  <c r="L182" i="2"/>
  <c r="K182" i="2"/>
  <c r="J182" i="2"/>
  <c r="I182" i="2"/>
  <c r="H182" i="2"/>
  <c r="A182" i="2"/>
  <c r="N181" i="2"/>
  <c r="M181" i="2"/>
  <c r="L181" i="2"/>
  <c r="K181" i="2"/>
  <c r="J181" i="2"/>
  <c r="I181" i="2"/>
  <c r="H181" i="2"/>
  <c r="A181" i="2"/>
  <c r="N180" i="2"/>
  <c r="M180" i="2"/>
  <c r="L180" i="2"/>
  <c r="K180" i="2"/>
  <c r="J180" i="2"/>
  <c r="I180" i="2"/>
  <c r="H180" i="2"/>
  <c r="A180" i="2"/>
  <c r="N179" i="2"/>
  <c r="M179" i="2"/>
  <c r="L179" i="2"/>
  <c r="K179" i="2"/>
  <c r="J179" i="2"/>
  <c r="I179" i="2"/>
  <c r="H179" i="2"/>
  <c r="A179" i="2"/>
  <c r="N178" i="2"/>
  <c r="M178" i="2"/>
  <c r="L178" i="2"/>
  <c r="K178" i="2"/>
  <c r="J178" i="2"/>
  <c r="I178" i="2"/>
  <c r="H178" i="2"/>
  <c r="A178" i="2"/>
  <c r="N177" i="2"/>
  <c r="M177" i="2"/>
  <c r="L177" i="2"/>
  <c r="K177" i="2"/>
  <c r="J177" i="2"/>
  <c r="I177" i="2"/>
  <c r="H177" i="2"/>
  <c r="A177" i="2"/>
  <c r="N176" i="2"/>
  <c r="M176" i="2"/>
  <c r="L176" i="2"/>
  <c r="K176" i="2"/>
  <c r="J176" i="2"/>
  <c r="I176" i="2"/>
  <c r="H176" i="2"/>
  <c r="A176" i="2"/>
  <c r="N175" i="2"/>
  <c r="M175" i="2"/>
  <c r="L175" i="2"/>
  <c r="K175" i="2"/>
  <c r="J175" i="2"/>
  <c r="I175" i="2"/>
  <c r="H175" i="2"/>
  <c r="A175" i="2"/>
  <c r="N174" i="2"/>
  <c r="M174" i="2"/>
  <c r="L174" i="2"/>
  <c r="K174" i="2"/>
  <c r="J174" i="2"/>
  <c r="I174" i="2"/>
  <c r="H174" i="2"/>
  <c r="A174" i="2"/>
  <c r="N173" i="2"/>
  <c r="M173" i="2"/>
  <c r="L173" i="2"/>
  <c r="K173" i="2"/>
  <c r="J173" i="2"/>
  <c r="I173" i="2"/>
  <c r="H173" i="2"/>
  <c r="A173" i="2"/>
  <c r="N172" i="2"/>
  <c r="M172" i="2"/>
  <c r="L172" i="2"/>
  <c r="K172" i="2"/>
  <c r="J172" i="2"/>
  <c r="I172" i="2"/>
  <c r="H172" i="2"/>
  <c r="A172" i="2"/>
  <c r="N171" i="2"/>
  <c r="M171" i="2"/>
  <c r="L171" i="2"/>
  <c r="K171" i="2"/>
  <c r="J171" i="2"/>
  <c r="I171" i="2"/>
  <c r="H171" i="2"/>
  <c r="A171" i="2"/>
  <c r="N170" i="2"/>
  <c r="M170" i="2"/>
  <c r="L170" i="2"/>
  <c r="K170" i="2"/>
  <c r="J170" i="2"/>
  <c r="I170" i="2"/>
  <c r="H170" i="2"/>
  <c r="A170" i="2"/>
  <c r="N169" i="2"/>
  <c r="M169" i="2"/>
  <c r="L169" i="2"/>
  <c r="K169" i="2"/>
  <c r="J169" i="2"/>
  <c r="I169" i="2"/>
  <c r="H169" i="2"/>
  <c r="A169" i="2"/>
  <c r="N168" i="2"/>
  <c r="M168" i="2"/>
  <c r="L168" i="2"/>
  <c r="K168" i="2"/>
  <c r="J168" i="2"/>
  <c r="I168" i="2"/>
  <c r="H168" i="2"/>
  <c r="A168" i="2"/>
  <c r="N167" i="2"/>
  <c r="M167" i="2"/>
  <c r="L167" i="2"/>
  <c r="K167" i="2"/>
  <c r="J167" i="2"/>
  <c r="I167" i="2"/>
  <c r="H167" i="2"/>
  <c r="A167" i="2"/>
  <c r="N166" i="2"/>
  <c r="M166" i="2"/>
  <c r="L166" i="2"/>
  <c r="K166" i="2"/>
  <c r="J166" i="2"/>
  <c r="I166" i="2"/>
  <c r="H166" i="2"/>
  <c r="A166" i="2"/>
  <c r="N165" i="2"/>
  <c r="M165" i="2"/>
  <c r="L165" i="2"/>
  <c r="K165" i="2"/>
  <c r="J165" i="2"/>
  <c r="I165" i="2"/>
  <c r="H165" i="2"/>
  <c r="A165" i="2"/>
  <c r="N164" i="2"/>
  <c r="M164" i="2"/>
  <c r="L164" i="2"/>
  <c r="K164" i="2"/>
  <c r="J164" i="2"/>
  <c r="I164" i="2"/>
  <c r="H164" i="2"/>
  <c r="A164" i="2"/>
  <c r="N163" i="2"/>
  <c r="M163" i="2"/>
  <c r="L163" i="2"/>
  <c r="K163" i="2"/>
  <c r="J163" i="2"/>
  <c r="I163" i="2"/>
  <c r="H163" i="2"/>
  <c r="A163" i="2"/>
  <c r="N162" i="2"/>
  <c r="M162" i="2"/>
  <c r="L162" i="2"/>
  <c r="K162" i="2"/>
  <c r="J162" i="2"/>
  <c r="I162" i="2"/>
  <c r="H162" i="2"/>
  <c r="A162" i="2"/>
  <c r="N161" i="2"/>
  <c r="M161" i="2"/>
  <c r="L161" i="2"/>
  <c r="K161" i="2"/>
  <c r="J161" i="2"/>
  <c r="I161" i="2"/>
  <c r="H161" i="2"/>
  <c r="A161" i="2"/>
  <c r="N160" i="2"/>
  <c r="M160" i="2"/>
  <c r="L160" i="2"/>
  <c r="K160" i="2"/>
  <c r="J160" i="2"/>
  <c r="I160" i="2"/>
  <c r="H160" i="2"/>
  <c r="A160" i="2"/>
  <c r="N159" i="2"/>
  <c r="M159" i="2"/>
  <c r="L159" i="2"/>
  <c r="K159" i="2"/>
  <c r="J159" i="2"/>
  <c r="I159" i="2"/>
  <c r="H159" i="2"/>
  <c r="A159" i="2"/>
  <c r="N158" i="2"/>
  <c r="M158" i="2"/>
  <c r="L158" i="2"/>
  <c r="K158" i="2"/>
  <c r="J158" i="2"/>
  <c r="I158" i="2"/>
  <c r="H158" i="2"/>
  <c r="A158" i="2"/>
  <c r="N157" i="2"/>
  <c r="M157" i="2"/>
  <c r="L157" i="2"/>
  <c r="K157" i="2"/>
  <c r="J157" i="2"/>
  <c r="I157" i="2"/>
  <c r="H157" i="2"/>
  <c r="A157" i="2"/>
  <c r="N156" i="2"/>
  <c r="M156" i="2"/>
  <c r="L156" i="2"/>
  <c r="K156" i="2"/>
  <c r="J156" i="2"/>
  <c r="I156" i="2"/>
  <c r="H156" i="2"/>
  <c r="A156" i="2"/>
  <c r="N155" i="2"/>
  <c r="M155" i="2"/>
  <c r="L155" i="2"/>
  <c r="K155" i="2"/>
  <c r="J155" i="2"/>
  <c r="I155" i="2"/>
  <c r="H155" i="2"/>
  <c r="A155" i="2"/>
  <c r="N154" i="2"/>
  <c r="M154" i="2"/>
  <c r="L154" i="2"/>
  <c r="K154" i="2"/>
  <c r="J154" i="2"/>
  <c r="I154" i="2"/>
  <c r="H154" i="2"/>
  <c r="A154" i="2"/>
  <c r="N153" i="2"/>
  <c r="M153" i="2"/>
  <c r="L153" i="2"/>
  <c r="K153" i="2"/>
  <c r="J153" i="2"/>
  <c r="I153" i="2"/>
  <c r="H153" i="2"/>
  <c r="A153" i="2"/>
  <c r="N152" i="2"/>
  <c r="M152" i="2"/>
  <c r="L152" i="2"/>
  <c r="K152" i="2"/>
  <c r="J152" i="2"/>
  <c r="I152" i="2"/>
  <c r="H152" i="2"/>
  <c r="A152" i="2"/>
  <c r="N151" i="2"/>
  <c r="M151" i="2"/>
  <c r="L151" i="2"/>
  <c r="K151" i="2"/>
  <c r="J151" i="2"/>
  <c r="I151" i="2"/>
  <c r="H151" i="2"/>
  <c r="A151" i="2"/>
  <c r="N150" i="2"/>
  <c r="M150" i="2"/>
  <c r="L150" i="2"/>
  <c r="K150" i="2"/>
  <c r="J150" i="2"/>
  <c r="I150" i="2"/>
  <c r="H150" i="2"/>
  <c r="A150" i="2"/>
  <c r="N149" i="2"/>
  <c r="M149" i="2"/>
  <c r="L149" i="2"/>
  <c r="K149" i="2"/>
  <c r="J149" i="2"/>
  <c r="I149" i="2"/>
  <c r="H149" i="2"/>
  <c r="A149" i="2"/>
  <c r="N148" i="2"/>
  <c r="M148" i="2"/>
  <c r="L148" i="2"/>
  <c r="K148" i="2"/>
  <c r="J148" i="2"/>
  <c r="I148" i="2"/>
  <c r="H148" i="2"/>
  <c r="A148" i="2"/>
  <c r="N147" i="2"/>
  <c r="M147" i="2"/>
  <c r="L147" i="2"/>
  <c r="K147" i="2"/>
  <c r="J147" i="2"/>
  <c r="I147" i="2"/>
  <c r="H147" i="2"/>
  <c r="A147" i="2"/>
  <c r="N146" i="2"/>
  <c r="M146" i="2"/>
  <c r="L146" i="2"/>
  <c r="K146" i="2"/>
  <c r="J146" i="2"/>
  <c r="I146" i="2"/>
  <c r="H146" i="2"/>
  <c r="A146" i="2"/>
  <c r="N145" i="2"/>
  <c r="M145" i="2"/>
  <c r="L145" i="2"/>
  <c r="K145" i="2"/>
  <c r="J145" i="2"/>
  <c r="I145" i="2"/>
  <c r="H145" i="2"/>
  <c r="A145" i="2"/>
  <c r="N144" i="2"/>
  <c r="M144" i="2"/>
  <c r="L144" i="2"/>
  <c r="K144" i="2"/>
  <c r="J144" i="2"/>
  <c r="I144" i="2"/>
  <c r="H144" i="2"/>
  <c r="A144" i="2"/>
  <c r="N143" i="2"/>
  <c r="M143" i="2"/>
  <c r="L143" i="2"/>
  <c r="K143" i="2"/>
  <c r="J143" i="2"/>
  <c r="I143" i="2"/>
  <c r="H143" i="2"/>
  <c r="A143" i="2"/>
  <c r="N142" i="2"/>
  <c r="M142" i="2"/>
  <c r="L142" i="2"/>
  <c r="K142" i="2"/>
  <c r="J142" i="2"/>
  <c r="I142" i="2"/>
  <c r="H142" i="2"/>
  <c r="A142" i="2"/>
  <c r="N141" i="2"/>
  <c r="M141" i="2"/>
  <c r="L141" i="2"/>
  <c r="K141" i="2"/>
  <c r="J141" i="2"/>
  <c r="I141" i="2"/>
  <c r="H141" i="2"/>
  <c r="A141" i="2"/>
  <c r="N140" i="2"/>
  <c r="M140" i="2"/>
  <c r="L140" i="2"/>
  <c r="K140" i="2"/>
  <c r="J140" i="2"/>
  <c r="I140" i="2"/>
  <c r="H140" i="2"/>
  <c r="A140" i="2"/>
  <c r="N139" i="2"/>
  <c r="M139" i="2"/>
  <c r="L139" i="2"/>
  <c r="K139" i="2"/>
  <c r="J139" i="2"/>
  <c r="I139" i="2"/>
  <c r="H139" i="2"/>
  <c r="A139" i="2"/>
  <c r="N138" i="2"/>
  <c r="M138" i="2"/>
  <c r="L138" i="2"/>
  <c r="K138" i="2"/>
  <c r="J138" i="2"/>
  <c r="I138" i="2"/>
  <c r="H138" i="2"/>
  <c r="A138" i="2"/>
  <c r="N137" i="2"/>
  <c r="M137" i="2"/>
  <c r="L137" i="2"/>
  <c r="K137" i="2"/>
  <c r="J137" i="2"/>
  <c r="I137" i="2"/>
  <c r="H137" i="2"/>
  <c r="A137" i="2"/>
  <c r="N136" i="2"/>
  <c r="M136" i="2"/>
  <c r="L136" i="2"/>
  <c r="K136" i="2"/>
  <c r="J136" i="2"/>
  <c r="I136" i="2"/>
  <c r="H136" i="2"/>
  <c r="A136" i="2"/>
  <c r="N135" i="2"/>
  <c r="M135" i="2"/>
  <c r="L135" i="2"/>
  <c r="K135" i="2"/>
  <c r="J135" i="2"/>
  <c r="I135" i="2"/>
  <c r="H135" i="2"/>
  <c r="A135" i="2"/>
  <c r="N134" i="2"/>
  <c r="M134" i="2"/>
  <c r="L134" i="2"/>
  <c r="K134" i="2"/>
  <c r="J134" i="2"/>
  <c r="I134" i="2"/>
  <c r="H134" i="2"/>
  <c r="A134" i="2"/>
  <c r="N133" i="2"/>
  <c r="M133" i="2"/>
  <c r="L133" i="2"/>
  <c r="K133" i="2"/>
  <c r="J133" i="2"/>
  <c r="I133" i="2"/>
  <c r="H133" i="2"/>
  <c r="A133" i="2"/>
  <c r="N132" i="2"/>
  <c r="M132" i="2"/>
  <c r="L132" i="2"/>
  <c r="K132" i="2"/>
  <c r="J132" i="2"/>
  <c r="I132" i="2"/>
  <c r="H132" i="2"/>
  <c r="A132" i="2"/>
  <c r="N131" i="2"/>
  <c r="M131" i="2"/>
  <c r="L131" i="2"/>
  <c r="K131" i="2"/>
  <c r="J131" i="2"/>
  <c r="I131" i="2"/>
  <c r="H131" i="2"/>
  <c r="A131" i="2"/>
  <c r="N130" i="2"/>
  <c r="M130" i="2"/>
  <c r="L130" i="2"/>
  <c r="K130" i="2"/>
  <c r="J130" i="2"/>
  <c r="I130" i="2"/>
  <c r="H130" i="2"/>
  <c r="A130" i="2"/>
  <c r="N129" i="2"/>
  <c r="M129" i="2"/>
  <c r="L129" i="2"/>
  <c r="K129" i="2"/>
  <c r="J129" i="2"/>
  <c r="I129" i="2"/>
  <c r="H129" i="2"/>
  <c r="A129" i="2"/>
  <c r="N128" i="2"/>
  <c r="M128" i="2"/>
  <c r="L128" i="2"/>
  <c r="K128" i="2"/>
  <c r="J128" i="2"/>
  <c r="I128" i="2"/>
  <c r="H128" i="2"/>
  <c r="A128" i="2"/>
  <c r="N127" i="2"/>
  <c r="M127" i="2"/>
  <c r="L127" i="2"/>
  <c r="K127" i="2"/>
  <c r="J127" i="2"/>
  <c r="I127" i="2"/>
  <c r="H127" i="2"/>
  <c r="A127" i="2"/>
  <c r="N126" i="2"/>
  <c r="M126" i="2"/>
  <c r="L126" i="2"/>
  <c r="K126" i="2"/>
  <c r="J126" i="2"/>
  <c r="I126" i="2"/>
  <c r="H126" i="2"/>
  <c r="A126" i="2"/>
  <c r="N125" i="2"/>
  <c r="M125" i="2"/>
  <c r="L125" i="2"/>
  <c r="K125" i="2"/>
  <c r="J125" i="2"/>
  <c r="I125" i="2"/>
  <c r="H125" i="2"/>
  <c r="A125" i="2"/>
  <c r="N124" i="2"/>
  <c r="M124" i="2"/>
  <c r="L124" i="2"/>
  <c r="K124" i="2"/>
  <c r="J124" i="2"/>
  <c r="I124" i="2"/>
  <c r="H124" i="2"/>
  <c r="A124" i="2"/>
  <c r="N123" i="2"/>
  <c r="M123" i="2"/>
  <c r="L123" i="2"/>
  <c r="K123" i="2"/>
  <c r="J123" i="2"/>
  <c r="I123" i="2"/>
  <c r="H123" i="2"/>
  <c r="A123" i="2"/>
  <c r="N122" i="2"/>
  <c r="M122" i="2"/>
  <c r="L122" i="2"/>
  <c r="K122" i="2"/>
  <c r="J122" i="2"/>
  <c r="I122" i="2"/>
  <c r="H122" i="2"/>
  <c r="A122" i="2"/>
  <c r="N121" i="2"/>
  <c r="M121" i="2"/>
  <c r="L121" i="2"/>
  <c r="K121" i="2"/>
  <c r="J121" i="2"/>
  <c r="I121" i="2"/>
  <c r="H121" i="2"/>
  <c r="A121" i="2"/>
  <c r="N120" i="2"/>
  <c r="M120" i="2"/>
  <c r="L120" i="2"/>
  <c r="K120" i="2"/>
  <c r="J120" i="2"/>
  <c r="I120" i="2"/>
  <c r="H120" i="2"/>
  <c r="A120" i="2"/>
  <c r="N119" i="2"/>
  <c r="M119" i="2"/>
  <c r="L119" i="2"/>
  <c r="K119" i="2"/>
  <c r="J119" i="2"/>
  <c r="I119" i="2"/>
  <c r="H119" i="2"/>
  <c r="A119" i="2"/>
  <c r="N118" i="2"/>
  <c r="M118" i="2"/>
  <c r="L118" i="2"/>
  <c r="K118" i="2"/>
  <c r="J118" i="2"/>
  <c r="I118" i="2"/>
  <c r="H118" i="2"/>
  <c r="A118" i="2"/>
  <c r="N117" i="2"/>
  <c r="M117" i="2"/>
  <c r="L117" i="2"/>
  <c r="K117" i="2"/>
  <c r="J117" i="2"/>
  <c r="I117" i="2"/>
  <c r="H117" i="2"/>
  <c r="A117" i="2"/>
  <c r="N116" i="2"/>
  <c r="M116" i="2"/>
  <c r="L116" i="2"/>
  <c r="K116" i="2"/>
  <c r="J116" i="2"/>
  <c r="I116" i="2"/>
  <c r="H116" i="2"/>
  <c r="A116" i="2"/>
  <c r="N115" i="2"/>
  <c r="M115" i="2"/>
  <c r="L115" i="2"/>
  <c r="K115" i="2"/>
  <c r="J115" i="2"/>
  <c r="I115" i="2"/>
  <c r="H115" i="2"/>
  <c r="A115" i="2"/>
  <c r="N114" i="2"/>
  <c r="M114" i="2"/>
  <c r="L114" i="2"/>
  <c r="K114" i="2"/>
  <c r="J114" i="2"/>
  <c r="I114" i="2"/>
  <c r="H114" i="2"/>
  <c r="A114" i="2"/>
  <c r="N113" i="2"/>
  <c r="M113" i="2"/>
  <c r="L113" i="2"/>
  <c r="K113" i="2"/>
  <c r="J113" i="2"/>
  <c r="I113" i="2"/>
  <c r="H113" i="2"/>
  <c r="A113" i="2"/>
  <c r="N112" i="2"/>
  <c r="M112" i="2"/>
  <c r="L112" i="2"/>
  <c r="K112" i="2"/>
  <c r="J112" i="2"/>
  <c r="I112" i="2"/>
  <c r="H112" i="2"/>
  <c r="A112" i="2"/>
  <c r="N111" i="2"/>
  <c r="M111" i="2"/>
  <c r="L111" i="2"/>
  <c r="K111" i="2"/>
  <c r="J111" i="2"/>
  <c r="I111" i="2"/>
  <c r="H111" i="2"/>
  <c r="A111" i="2"/>
  <c r="N110" i="2"/>
  <c r="M110" i="2"/>
  <c r="L110" i="2"/>
  <c r="K110" i="2"/>
  <c r="J110" i="2"/>
  <c r="I110" i="2"/>
  <c r="H110" i="2"/>
  <c r="A110" i="2"/>
  <c r="N109" i="2"/>
  <c r="M109" i="2"/>
  <c r="L109" i="2"/>
  <c r="K109" i="2"/>
  <c r="J109" i="2"/>
  <c r="I109" i="2"/>
  <c r="H109" i="2"/>
  <c r="A109" i="2"/>
  <c r="N108" i="2"/>
  <c r="M108" i="2"/>
  <c r="L108" i="2"/>
  <c r="K108" i="2"/>
  <c r="J108" i="2"/>
  <c r="I108" i="2"/>
  <c r="H108" i="2"/>
  <c r="A108" i="2"/>
  <c r="N107" i="2"/>
  <c r="M107" i="2"/>
  <c r="L107" i="2"/>
  <c r="K107" i="2"/>
  <c r="J107" i="2"/>
  <c r="I107" i="2"/>
  <c r="H107" i="2"/>
  <c r="A107" i="2"/>
  <c r="N106" i="2"/>
  <c r="M106" i="2"/>
  <c r="L106" i="2"/>
  <c r="K106" i="2"/>
  <c r="J106" i="2"/>
  <c r="I106" i="2"/>
  <c r="H106" i="2"/>
  <c r="A106" i="2"/>
  <c r="N105" i="2"/>
  <c r="M105" i="2"/>
  <c r="L105" i="2"/>
  <c r="K105" i="2"/>
  <c r="J105" i="2"/>
  <c r="I105" i="2"/>
  <c r="H105" i="2"/>
  <c r="A105" i="2"/>
  <c r="N104" i="2"/>
  <c r="M104" i="2"/>
  <c r="L104" i="2"/>
  <c r="K104" i="2"/>
  <c r="J104" i="2"/>
  <c r="I104" i="2"/>
  <c r="H104" i="2"/>
  <c r="A104" i="2"/>
  <c r="N103" i="2"/>
  <c r="M103" i="2"/>
  <c r="L103" i="2"/>
  <c r="K103" i="2"/>
  <c r="J103" i="2"/>
  <c r="I103" i="2"/>
  <c r="H103" i="2"/>
  <c r="A103" i="2"/>
  <c r="N102" i="2"/>
  <c r="M102" i="2"/>
  <c r="L102" i="2"/>
  <c r="K102" i="2"/>
  <c r="J102" i="2"/>
  <c r="I102" i="2"/>
  <c r="H102" i="2"/>
  <c r="A102" i="2"/>
  <c r="N101" i="2"/>
  <c r="M101" i="2"/>
  <c r="L101" i="2"/>
  <c r="K101" i="2"/>
  <c r="J101" i="2"/>
  <c r="I101" i="2"/>
  <c r="H101" i="2"/>
  <c r="A101" i="2"/>
  <c r="N100" i="2"/>
  <c r="M100" i="2"/>
  <c r="L100" i="2"/>
  <c r="K100" i="2"/>
  <c r="J100" i="2"/>
  <c r="I100" i="2"/>
  <c r="H100" i="2"/>
  <c r="A100" i="2"/>
  <c r="N99" i="2"/>
  <c r="M99" i="2"/>
  <c r="L99" i="2"/>
  <c r="K99" i="2"/>
  <c r="J99" i="2"/>
  <c r="I99" i="2"/>
  <c r="H99" i="2"/>
  <c r="A99" i="2"/>
  <c r="N98" i="2"/>
  <c r="M98" i="2"/>
  <c r="L98" i="2"/>
  <c r="K98" i="2"/>
  <c r="J98" i="2"/>
  <c r="I98" i="2"/>
  <c r="H98" i="2"/>
  <c r="A98" i="2"/>
  <c r="N97" i="2"/>
  <c r="M97" i="2"/>
  <c r="L97" i="2"/>
  <c r="K97" i="2"/>
  <c r="J97" i="2"/>
  <c r="I97" i="2"/>
  <c r="H97" i="2"/>
  <c r="A97" i="2"/>
  <c r="N96" i="2"/>
  <c r="M96" i="2"/>
  <c r="L96" i="2"/>
  <c r="K96" i="2"/>
  <c r="J96" i="2"/>
  <c r="I96" i="2"/>
  <c r="H96" i="2"/>
  <c r="A96" i="2"/>
  <c r="N95" i="2"/>
  <c r="M95" i="2"/>
  <c r="L95" i="2"/>
  <c r="K95" i="2"/>
  <c r="J95" i="2"/>
  <c r="I95" i="2"/>
  <c r="H95" i="2"/>
  <c r="A95" i="2"/>
  <c r="N94" i="2"/>
  <c r="M94" i="2"/>
  <c r="L94" i="2"/>
  <c r="K94" i="2"/>
  <c r="J94" i="2"/>
  <c r="I94" i="2"/>
  <c r="H94" i="2"/>
  <c r="A94" i="2"/>
  <c r="N93" i="2"/>
  <c r="M93" i="2"/>
  <c r="L93" i="2"/>
  <c r="K93" i="2"/>
  <c r="J93" i="2"/>
  <c r="I93" i="2"/>
  <c r="H93" i="2"/>
  <c r="A93" i="2"/>
  <c r="N92" i="2"/>
  <c r="M92" i="2"/>
  <c r="L92" i="2"/>
  <c r="K92" i="2"/>
  <c r="J92" i="2"/>
  <c r="I92" i="2"/>
  <c r="H92" i="2"/>
  <c r="A92" i="2"/>
  <c r="N91" i="2"/>
  <c r="M91" i="2"/>
  <c r="L91" i="2"/>
  <c r="K91" i="2"/>
  <c r="J91" i="2"/>
  <c r="I91" i="2"/>
  <c r="H91" i="2"/>
  <c r="A91" i="2"/>
  <c r="N90" i="2"/>
  <c r="M90" i="2"/>
  <c r="L90" i="2"/>
  <c r="K90" i="2"/>
  <c r="J90" i="2"/>
  <c r="I90" i="2"/>
  <c r="H90" i="2"/>
  <c r="A90" i="2"/>
  <c r="N89" i="2"/>
  <c r="M89" i="2"/>
  <c r="L89" i="2"/>
  <c r="K89" i="2"/>
  <c r="J89" i="2"/>
  <c r="I89" i="2"/>
  <c r="H89" i="2"/>
  <c r="A89" i="2"/>
  <c r="N88" i="2"/>
  <c r="M88" i="2"/>
  <c r="L88" i="2"/>
  <c r="K88" i="2"/>
  <c r="J88" i="2"/>
  <c r="I88" i="2"/>
  <c r="H88" i="2"/>
  <c r="A88" i="2"/>
  <c r="N87" i="2"/>
  <c r="M87" i="2"/>
  <c r="L87" i="2"/>
  <c r="K87" i="2"/>
  <c r="J87" i="2"/>
  <c r="I87" i="2"/>
  <c r="H87" i="2"/>
  <c r="A87" i="2"/>
  <c r="N86" i="2"/>
  <c r="M86" i="2"/>
  <c r="L86" i="2"/>
  <c r="K86" i="2"/>
  <c r="J86" i="2"/>
  <c r="I86" i="2"/>
  <c r="H86" i="2"/>
  <c r="A86" i="2"/>
  <c r="N85" i="2"/>
  <c r="M85" i="2"/>
  <c r="L85" i="2"/>
  <c r="K85" i="2"/>
  <c r="J85" i="2"/>
  <c r="I85" i="2"/>
  <c r="H85" i="2"/>
  <c r="A85" i="2"/>
  <c r="N84" i="2"/>
  <c r="M84" i="2"/>
  <c r="L84" i="2"/>
  <c r="K84" i="2"/>
  <c r="J84" i="2"/>
  <c r="I84" i="2"/>
  <c r="H84" i="2"/>
  <c r="A84" i="2"/>
  <c r="N83" i="2"/>
  <c r="M83" i="2"/>
  <c r="L83" i="2"/>
  <c r="K83" i="2"/>
  <c r="J83" i="2"/>
  <c r="I83" i="2"/>
  <c r="H83" i="2"/>
  <c r="A83" i="2"/>
  <c r="N82" i="2"/>
  <c r="M82" i="2"/>
  <c r="L82" i="2"/>
  <c r="K82" i="2"/>
  <c r="J82" i="2"/>
  <c r="I82" i="2"/>
  <c r="H82" i="2"/>
  <c r="A82" i="2"/>
  <c r="N81" i="2"/>
  <c r="M81" i="2"/>
  <c r="L81" i="2"/>
  <c r="K81" i="2"/>
  <c r="J81" i="2"/>
  <c r="I81" i="2"/>
  <c r="H81" i="2"/>
  <c r="A81" i="2"/>
  <c r="N80" i="2"/>
  <c r="M80" i="2"/>
  <c r="L80" i="2"/>
  <c r="K80" i="2"/>
  <c r="J80" i="2"/>
  <c r="I80" i="2"/>
  <c r="H80" i="2"/>
  <c r="A80" i="2"/>
  <c r="N79" i="2"/>
  <c r="M79" i="2"/>
  <c r="L79" i="2"/>
  <c r="K79" i="2"/>
  <c r="J79" i="2"/>
  <c r="I79" i="2"/>
  <c r="H79" i="2"/>
  <c r="A79" i="2"/>
  <c r="N78" i="2"/>
  <c r="M78" i="2"/>
  <c r="L78" i="2"/>
  <c r="K78" i="2"/>
  <c r="J78" i="2"/>
  <c r="I78" i="2"/>
  <c r="H78" i="2"/>
  <c r="A78" i="2"/>
  <c r="N77" i="2"/>
  <c r="M77" i="2"/>
  <c r="L77" i="2"/>
  <c r="K77" i="2"/>
  <c r="J77" i="2"/>
  <c r="I77" i="2"/>
  <c r="H77" i="2"/>
  <c r="A77" i="2"/>
  <c r="N76" i="2"/>
  <c r="M76" i="2"/>
  <c r="L76" i="2"/>
  <c r="K76" i="2"/>
  <c r="J76" i="2"/>
  <c r="I76" i="2"/>
  <c r="H76" i="2"/>
  <c r="A76" i="2"/>
  <c r="N75" i="2"/>
  <c r="M75" i="2"/>
  <c r="L75" i="2"/>
  <c r="K75" i="2"/>
  <c r="J75" i="2"/>
  <c r="I75" i="2"/>
  <c r="H75" i="2"/>
  <c r="A75" i="2"/>
  <c r="N74" i="2"/>
  <c r="M74" i="2"/>
  <c r="L74" i="2"/>
  <c r="K74" i="2"/>
  <c r="J74" i="2"/>
  <c r="I74" i="2"/>
  <c r="H74" i="2"/>
  <c r="A74" i="2"/>
  <c r="N73" i="2"/>
  <c r="M73" i="2"/>
  <c r="L73" i="2"/>
  <c r="K73" i="2"/>
  <c r="J73" i="2"/>
  <c r="I73" i="2"/>
  <c r="H73" i="2"/>
  <c r="A73" i="2"/>
  <c r="N72" i="2"/>
  <c r="M72" i="2"/>
  <c r="L72" i="2"/>
  <c r="K72" i="2"/>
  <c r="J72" i="2"/>
  <c r="I72" i="2"/>
  <c r="H72" i="2"/>
  <c r="A72" i="2"/>
  <c r="N71" i="2"/>
  <c r="M71" i="2"/>
  <c r="L71" i="2"/>
  <c r="K71" i="2"/>
  <c r="J71" i="2"/>
  <c r="I71" i="2"/>
  <c r="H71" i="2"/>
  <c r="A71" i="2"/>
  <c r="N70" i="2"/>
  <c r="M70" i="2"/>
  <c r="L70" i="2"/>
  <c r="K70" i="2"/>
  <c r="J70" i="2"/>
  <c r="I70" i="2"/>
  <c r="H70" i="2"/>
  <c r="A70" i="2"/>
  <c r="N69" i="2"/>
  <c r="M69" i="2"/>
  <c r="L69" i="2"/>
  <c r="K69" i="2"/>
  <c r="J69" i="2"/>
  <c r="I69" i="2"/>
  <c r="H69" i="2"/>
  <c r="A69" i="2"/>
  <c r="N68" i="2"/>
  <c r="M68" i="2"/>
  <c r="L68" i="2"/>
  <c r="K68" i="2"/>
  <c r="J68" i="2"/>
  <c r="I68" i="2"/>
  <c r="H68" i="2"/>
  <c r="A68" i="2"/>
  <c r="N67" i="2"/>
  <c r="M67" i="2"/>
  <c r="L67" i="2"/>
  <c r="K67" i="2"/>
  <c r="J67" i="2"/>
  <c r="I67" i="2"/>
  <c r="H67" i="2"/>
  <c r="A67" i="2"/>
  <c r="N66" i="2"/>
  <c r="M66" i="2"/>
  <c r="L66" i="2"/>
  <c r="K66" i="2"/>
  <c r="J66" i="2"/>
  <c r="I66" i="2"/>
  <c r="H66" i="2"/>
  <c r="A66" i="2"/>
  <c r="N65" i="2"/>
  <c r="M65" i="2"/>
  <c r="L65" i="2"/>
  <c r="K65" i="2"/>
  <c r="J65" i="2"/>
  <c r="I65" i="2"/>
  <c r="H65" i="2"/>
  <c r="A65" i="2"/>
  <c r="N64" i="2"/>
  <c r="M64" i="2"/>
  <c r="L64" i="2"/>
  <c r="K64" i="2"/>
  <c r="J64" i="2"/>
  <c r="I64" i="2"/>
  <c r="H64" i="2"/>
  <c r="A64" i="2"/>
  <c r="N63" i="2"/>
  <c r="M63" i="2"/>
  <c r="L63" i="2"/>
  <c r="K63" i="2"/>
  <c r="J63" i="2"/>
  <c r="I63" i="2"/>
  <c r="H63" i="2"/>
  <c r="A63" i="2"/>
  <c r="N62" i="2"/>
  <c r="M62" i="2"/>
  <c r="L62" i="2"/>
  <c r="K62" i="2"/>
  <c r="J62" i="2"/>
  <c r="I62" i="2"/>
  <c r="H62" i="2"/>
  <c r="A62" i="2"/>
  <c r="N61" i="2"/>
  <c r="M61" i="2"/>
  <c r="L61" i="2"/>
  <c r="K61" i="2"/>
  <c r="J61" i="2"/>
  <c r="I61" i="2"/>
  <c r="H61" i="2"/>
  <c r="A61" i="2"/>
  <c r="N60" i="2"/>
  <c r="M60" i="2"/>
  <c r="L60" i="2"/>
  <c r="K60" i="2"/>
  <c r="J60" i="2"/>
  <c r="I60" i="2"/>
  <c r="H60" i="2"/>
  <c r="A60" i="2"/>
  <c r="N59" i="2"/>
  <c r="M59" i="2"/>
  <c r="L59" i="2"/>
  <c r="K59" i="2"/>
  <c r="J59" i="2"/>
  <c r="I59" i="2"/>
  <c r="H59" i="2"/>
  <c r="A59" i="2"/>
  <c r="N58" i="2"/>
  <c r="M58" i="2"/>
  <c r="L58" i="2"/>
  <c r="K58" i="2"/>
  <c r="J58" i="2"/>
  <c r="I58" i="2"/>
  <c r="H58" i="2"/>
  <c r="A58" i="2"/>
  <c r="N57" i="2"/>
  <c r="M57" i="2"/>
  <c r="L57" i="2"/>
  <c r="K57" i="2"/>
  <c r="J57" i="2"/>
  <c r="I57" i="2"/>
  <c r="H57" i="2"/>
  <c r="A57" i="2"/>
  <c r="N56" i="2"/>
  <c r="M56" i="2"/>
  <c r="L56" i="2"/>
  <c r="K56" i="2"/>
  <c r="J56" i="2"/>
  <c r="I56" i="2"/>
  <c r="H56" i="2"/>
  <c r="A56" i="2"/>
  <c r="N55" i="2"/>
  <c r="M55" i="2"/>
  <c r="L55" i="2"/>
  <c r="K55" i="2"/>
  <c r="J55" i="2"/>
  <c r="I55" i="2"/>
  <c r="H55" i="2"/>
  <c r="A55" i="2"/>
  <c r="N54" i="2"/>
  <c r="M54" i="2"/>
  <c r="L54" i="2"/>
  <c r="K54" i="2"/>
  <c r="J54" i="2"/>
  <c r="I54" i="2"/>
  <c r="H54" i="2"/>
  <c r="A54" i="2"/>
  <c r="N53" i="2"/>
  <c r="M53" i="2"/>
  <c r="L53" i="2"/>
  <c r="K53" i="2"/>
  <c r="J53" i="2"/>
  <c r="I53" i="2"/>
  <c r="H53" i="2"/>
  <c r="A53" i="2"/>
  <c r="N52" i="2"/>
  <c r="M52" i="2"/>
  <c r="L52" i="2"/>
  <c r="K52" i="2"/>
  <c r="J52" i="2"/>
  <c r="I52" i="2"/>
  <c r="H52" i="2"/>
  <c r="A52" i="2"/>
  <c r="N51" i="2"/>
  <c r="M51" i="2"/>
  <c r="L51" i="2"/>
  <c r="K51" i="2"/>
  <c r="J51" i="2"/>
  <c r="I51" i="2"/>
  <c r="H51" i="2"/>
  <c r="A51" i="2"/>
  <c r="N50" i="2"/>
  <c r="M50" i="2"/>
  <c r="L50" i="2"/>
  <c r="K50" i="2"/>
  <c r="J50" i="2"/>
  <c r="I50" i="2"/>
  <c r="H50" i="2"/>
  <c r="A50" i="2"/>
  <c r="N49" i="2"/>
  <c r="M49" i="2"/>
  <c r="L49" i="2"/>
  <c r="K49" i="2"/>
  <c r="J49" i="2"/>
  <c r="I49" i="2"/>
  <c r="H49" i="2"/>
  <c r="A49" i="2"/>
  <c r="N48" i="2"/>
  <c r="M48" i="2"/>
  <c r="L48" i="2"/>
  <c r="K48" i="2"/>
  <c r="J48" i="2"/>
  <c r="I48" i="2"/>
  <c r="H48" i="2"/>
  <c r="A48" i="2"/>
  <c r="N47" i="2"/>
  <c r="M47" i="2"/>
  <c r="L47" i="2"/>
  <c r="K47" i="2"/>
  <c r="J47" i="2"/>
  <c r="I47" i="2"/>
  <c r="H47" i="2"/>
  <c r="A47" i="2"/>
  <c r="N46" i="2"/>
  <c r="M46" i="2"/>
  <c r="L46" i="2"/>
  <c r="K46" i="2"/>
  <c r="J46" i="2"/>
  <c r="I46" i="2"/>
  <c r="H46" i="2"/>
  <c r="A46" i="2"/>
  <c r="N45" i="2"/>
  <c r="M45" i="2"/>
  <c r="L45" i="2"/>
  <c r="K45" i="2"/>
  <c r="J45" i="2"/>
  <c r="I45" i="2"/>
  <c r="H45" i="2"/>
  <c r="A45" i="2"/>
  <c r="N44" i="2"/>
  <c r="M44" i="2"/>
  <c r="L44" i="2"/>
  <c r="K44" i="2"/>
  <c r="J44" i="2"/>
  <c r="I44" i="2"/>
  <c r="H44" i="2"/>
  <c r="A44" i="2"/>
  <c r="N43" i="2"/>
  <c r="M43" i="2"/>
  <c r="L43" i="2"/>
  <c r="K43" i="2"/>
  <c r="J43" i="2"/>
  <c r="I43" i="2"/>
  <c r="H43" i="2"/>
  <c r="A43" i="2"/>
  <c r="N42" i="2"/>
  <c r="M42" i="2"/>
  <c r="L42" i="2"/>
  <c r="K42" i="2"/>
  <c r="J42" i="2"/>
  <c r="I42" i="2"/>
  <c r="H42" i="2"/>
  <c r="A42" i="2"/>
  <c r="N41" i="2"/>
  <c r="M41" i="2"/>
  <c r="L41" i="2"/>
  <c r="K41" i="2"/>
  <c r="J41" i="2"/>
  <c r="I41" i="2"/>
  <c r="H41" i="2"/>
  <c r="A41" i="2"/>
  <c r="N40" i="2"/>
  <c r="M40" i="2"/>
  <c r="L40" i="2"/>
  <c r="K40" i="2"/>
  <c r="J40" i="2"/>
  <c r="A40" i="2"/>
  <c r="N39" i="2"/>
  <c r="M39" i="2"/>
  <c r="L39" i="2"/>
  <c r="K39" i="2"/>
  <c r="J39" i="2"/>
  <c r="A39" i="2"/>
  <c r="N38" i="2"/>
  <c r="M38" i="2"/>
  <c r="L38" i="2"/>
  <c r="K38" i="2"/>
  <c r="J38" i="2"/>
  <c r="A38" i="2"/>
  <c r="N37" i="2"/>
  <c r="M37" i="2"/>
  <c r="L37" i="2"/>
  <c r="K37" i="2"/>
  <c r="J37" i="2"/>
  <c r="A37" i="2"/>
  <c r="N36" i="2"/>
  <c r="M36" i="2"/>
  <c r="L36" i="2"/>
  <c r="K36" i="2"/>
  <c r="J36" i="2"/>
  <c r="A36" i="2"/>
  <c r="N35" i="2"/>
  <c r="M35" i="2"/>
  <c r="L35" i="2"/>
  <c r="K35" i="2"/>
  <c r="J35" i="2"/>
  <c r="A35" i="2"/>
  <c r="N34" i="2"/>
  <c r="M34" i="2"/>
  <c r="L34" i="2"/>
  <c r="K34" i="2"/>
  <c r="J34" i="2"/>
  <c r="A34" i="2"/>
  <c r="N33" i="2"/>
  <c r="M33" i="2"/>
  <c r="L33" i="2"/>
  <c r="K33" i="2"/>
  <c r="J33" i="2"/>
  <c r="A33" i="2"/>
  <c r="N32" i="2"/>
  <c r="M32" i="2"/>
  <c r="L32" i="2"/>
  <c r="K32" i="2"/>
  <c r="J32" i="2"/>
  <c r="A32" i="2"/>
  <c r="N31" i="2"/>
  <c r="M31" i="2"/>
  <c r="L31" i="2"/>
  <c r="K31" i="2"/>
  <c r="J31" i="2"/>
  <c r="A31" i="2"/>
  <c r="N30" i="2"/>
  <c r="M30" i="2"/>
  <c r="L30" i="2"/>
  <c r="K30" i="2"/>
  <c r="J30" i="2"/>
  <c r="A30" i="2"/>
  <c r="N29" i="2"/>
  <c r="M29" i="2"/>
  <c r="L29" i="2"/>
  <c r="K29" i="2"/>
  <c r="J29" i="2"/>
  <c r="A29" i="2"/>
  <c r="N28" i="2"/>
  <c r="M28" i="2"/>
  <c r="L28" i="2"/>
  <c r="K28" i="2"/>
  <c r="J28" i="2"/>
  <c r="A28" i="2"/>
  <c r="N27" i="2"/>
  <c r="M27" i="2"/>
  <c r="L27" i="2"/>
  <c r="K27" i="2"/>
  <c r="J27" i="2"/>
  <c r="A27" i="2"/>
  <c r="N26" i="2"/>
  <c r="M26" i="2"/>
  <c r="L26" i="2"/>
  <c r="K26" i="2"/>
  <c r="J26" i="2"/>
  <c r="A26" i="2"/>
  <c r="N25" i="2"/>
  <c r="M25" i="2"/>
  <c r="L25" i="2"/>
  <c r="K25" i="2"/>
  <c r="J25" i="2"/>
  <c r="A25" i="2"/>
  <c r="N24" i="2"/>
  <c r="M24" i="2"/>
  <c r="L24" i="2"/>
  <c r="K24" i="2"/>
  <c r="J24" i="2"/>
  <c r="A24" i="2"/>
  <c r="N23" i="2"/>
  <c r="M23" i="2"/>
  <c r="L23" i="2"/>
  <c r="K23" i="2"/>
  <c r="J23" i="2"/>
  <c r="A23" i="2"/>
  <c r="N22" i="2"/>
  <c r="M22" i="2"/>
  <c r="L22" i="2"/>
  <c r="K22" i="2"/>
  <c r="J22" i="2"/>
  <c r="A22" i="2"/>
  <c r="N21" i="2"/>
  <c r="M21" i="2"/>
  <c r="L21" i="2"/>
  <c r="K21" i="2"/>
  <c r="J21" i="2"/>
  <c r="A21" i="2"/>
  <c r="N20" i="2"/>
  <c r="M20" i="2"/>
  <c r="L20" i="2"/>
  <c r="K20" i="2"/>
  <c r="J20" i="2"/>
  <c r="A20" i="2"/>
  <c r="N19" i="2"/>
  <c r="M19" i="2"/>
  <c r="L19" i="2"/>
  <c r="K19" i="2"/>
  <c r="J19" i="2"/>
  <c r="A19" i="2"/>
  <c r="N18" i="2"/>
  <c r="M18" i="2"/>
  <c r="L18" i="2"/>
  <c r="K18" i="2"/>
  <c r="J18" i="2"/>
  <c r="A18" i="2"/>
  <c r="N17" i="2"/>
  <c r="M17" i="2"/>
  <c r="L17" i="2"/>
  <c r="K17" i="2"/>
  <c r="J17" i="2"/>
  <c r="A17" i="2"/>
  <c r="Q16" i="2"/>
  <c r="N16" i="2"/>
  <c r="M16" i="2"/>
  <c r="L16" i="2"/>
  <c r="K16" i="2"/>
  <c r="J16" i="2"/>
  <c r="A16" i="2"/>
  <c r="N15" i="2"/>
  <c r="M15" i="2"/>
  <c r="L15" i="2"/>
  <c r="K15" i="2"/>
  <c r="J15" i="2"/>
  <c r="A15" i="2"/>
  <c r="N14" i="2"/>
  <c r="M14" i="2"/>
  <c r="L14" i="2"/>
  <c r="K14" i="2"/>
  <c r="J14" i="2"/>
  <c r="A14" i="2"/>
  <c r="Q13" i="2"/>
  <c r="N13" i="2"/>
  <c r="M13" i="2"/>
  <c r="L13" i="2"/>
  <c r="K13" i="2"/>
  <c r="J13" i="2"/>
  <c r="A13" i="2"/>
  <c r="N12" i="2"/>
  <c r="M12" i="2"/>
  <c r="L12" i="2"/>
  <c r="K12" i="2"/>
  <c r="J12" i="2"/>
  <c r="A12" i="2"/>
  <c r="N11" i="2"/>
  <c r="M11" i="2"/>
  <c r="L11" i="2"/>
  <c r="K11" i="2"/>
  <c r="J11" i="2"/>
  <c r="A11" i="2"/>
  <c r="Q10" i="2"/>
  <c r="N10" i="2"/>
  <c r="M10" i="2"/>
  <c r="L10" i="2"/>
  <c r="K10" i="2"/>
  <c r="J10" i="2"/>
  <c r="I10" i="2"/>
  <c r="A10" i="2"/>
  <c r="N9" i="2"/>
  <c r="M9" i="2"/>
  <c r="L9" i="2"/>
  <c r="K9" i="2"/>
  <c r="J9" i="2"/>
  <c r="I9" i="2"/>
  <c r="H9" i="2"/>
  <c r="A9" i="2"/>
  <c r="N8" i="2"/>
  <c r="M8" i="2"/>
  <c r="L8" i="2"/>
  <c r="K8" i="2"/>
  <c r="J8" i="2"/>
  <c r="I8" i="2"/>
  <c r="H8" i="2"/>
  <c r="A8" i="2"/>
  <c r="N7" i="2"/>
  <c r="M7" i="2"/>
  <c r="L7" i="2"/>
  <c r="K7" i="2"/>
  <c r="J7" i="2"/>
  <c r="I7" i="2"/>
  <c r="H7" i="2"/>
  <c r="A7" i="2"/>
  <c r="N6" i="2"/>
  <c r="M6" i="2"/>
  <c r="L6" i="2"/>
  <c r="K6" i="2"/>
  <c r="J6" i="2"/>
  <c r="I6" i="2"/>
  <c r="H6" i="2"/>
  <c r="A6" i="2"/>
  <c r="N5" i="2"/>
  <c r="M5" i="2"/>
  <c r="L5" i="2"/>
  <c r="K5" i="2"/>
  <c r="J5" i="2"/>
  <c r="I5" i="2"/>
  <c r="H5" i="2"/>
  <c r="A5" i="2"/>
  <c r="N4" i="2"/>
  <c r="M4" i="2"/>
  <c r="L4" i="2"/>
  <c r="K4" i="2"/>
  <c r="J4" i="2"/>
  <c r="I4" i="2"/>
  <c r="H4" i="2"/>
  <c r="A4" i="2"/>
  <c r="N3" i="2"/>
  <c r="M3" i="2"/>
  <c r="L3" i="2"/>
  <c r="K3" i="2"/>
  <c r="J3" i="2"/>
  <c r="I3" i="2"/>
  <c r="H3" i="2"/>
  <c r="A3" i="2"/>
  <c r="N2" i="2"/>
  <c r="M2" i="2"/>
  <c r="L2" i="2"/>
  <c r="K2" i="2"/>
  <c r="J2" i="2"/>
  <c r="I2" i="2"/>
  <c r="H2" i="2"/>
  <c r="A2" i="2"/>
  <c r="B3" i="2" l="1"/>
  <c r="B66" i="2"/>
  <c r="B29" i="2"/>
  <c r="B38" i="2"/>
  <c r="B46" i="2"/>
  <c r="B50" i="2"/>
  <c r="B59" i="2"/>
  <c r="B71" i="2"/>
  <c r="B76" i="2"/>
  <c r="B80" i="2"/>
  <c r="B84" i="2"/>
  <c r="B88" i="2"/>
  <c r="B92" i="2"/>
  <c r="B96" i="2"/>
  <c r="B100" i="2"/>
  <c r="B104" i="2"/>
  <c r="B108" i="2"/>
  <c r="B112" i="2"/>
  <c r="B117" i="2"/>
  <c r="B121" i="2"/>
  <c r="B125" i="2"/>
  <c r="B129" i="2"/>
  <c r="B134" i="2"/>
  <c r="B138" i="2"/>
  <c r="B142" i="2"/>
  <c r="B146" i="2"/>
  <c r="B150" i="2"/>
  <c r="B156" i="2"/>
  <c r="B157" i="2"/>
  <c r="B160" i="2"/>
  <c r="B161" i="2"/>
  <c r="B164" i="2"/>
  <c r="B165" i="2"/>
  <c r="B168" i="2"/>
  <c r="B169" i="2"/>
  <c r="B172" i="2"/>
  <c r="B173" i="2"/>
  <c r="B177" i="2"/>
  <c r="B178" i="2"/>
  <c r="B181" i="2"/>
  <c r="B182" i="2"/>
  <c r="B185" i="2"/>
  <c r="B186" i="2"/>
  <c r="B189" i="2"/>
  <c r="B190" i="2"/>
  <c r="B193" i="2"/>
  <c r="B194" i="2"/>
  <c r="B197" i="2"/>
  <c r="B198" i="2"/>
  <c r="B8" i="2"/>
  <c r="B25" i="2"/>
  <c r="B42" i="2"/>
  <c r="B54" i="2"/>
  <c r="B63" i="2"/>
  <c r="B67" i="2"/>
  <c r="B11" i="2"/>
  <c r="B21" i="2"/>
  <c r="B33" i="2"/>
  <c r="B151" i="2"/>
  <c r="B7" i="2"/>
  <c r="B20" i="2"/>
  <c r="B32" i="2"/>
  <c r="B41" i="2"/>
  <c r="B49" i="2"/>
  <c r="B62" i="2"/>
  <c r="B79" i="2"/>
  <c r="B83" i="2"/>
  <c r="B91" i="2"/>
  <c r="B116" i="2"/>
  <c r="B120" i="2"/>
  <c r="B133" i="2"/>
  <c r="B159" i="2"/>
  <c r="B163" i="2"/>
  <c r="B167" i="2"/>
  <c r="B171" i="2"/>
  <c r="B175" i="2"/>
  <c r="B176" i="2"/>
  <c r="B180" i="2"/>
  <c r="B184" i="2"/>
  <c r="B188" i="2"/>
  <c r="B192" i="2"/>
  <c r="B196" i="2"/>
  <c r="B200" i="2"/>
  <c r="B4" i="2"/>
  <c r="B24" i="2"/>
  <c r="B28" i="2"/>
  <c r="B37" i="2"/>
  <c r="B45" i="2"/>
  <c r="B70" i="2"/>
  <c r="B75" i="2"/>
  <c r="B87" i="2"/>
  <c r="B95" i="2"/>
  <c r="B99" i="2"/>
  <c r="B103" i="2"/>
  <c r="B107" i="2"/>
  <c r="B111" i="2"/>
  <c r="B115" i="2"/>
  <c r="B124" i="2"/>
  <c r="B128" i="2"/>
  <c r="B137" i="2"/>
  <c r="B141" i="2"/>
  <c r="B145" i="2"/>
  <c r="B149" i="2"/>
  <c r="B154" i="2"/>
  <c r="B5" i="2"/>
  <c r="B9" i="2"/>
  <c r="B14" i="2"/>
  <c r="B17" i="2"/>
  <c r="B22" i="2"/>
  <c r="B26" i="2"/>
  <c r="B30" i="2"/>
  <c r="B35" i="2"/>
  <c r="B39" i="2"/>
  <c r="B43" i="2"/>
  <c r="B47" i="2"/>
  <c r="B51" i="2"/>
  <c r="B56" i="2"/>
  <c r="B60" i="2"/>
  <c r="B64" i="2"/>
  <c r="B68" i="2"/>
  <c r="B72" i="2"/>
  <c r="B73" i="2"/>
  <c r="B77" i="2"/>
  <c r="B81" i="2"/>
  <c r="B85" i="2"/>
  <c r="B89" i="2"/>
  <c r="B93" i="2"/>
  <c r="B97" i="2"/>
  <c r="B101" i="2"/>
  <c r="B105" i="2"/>
  <c r="B109" i="2"/>
  <c r="B113" i="2"/>
  <c r="B118" i="2"/>
  <c r="B122" i="2"/>
  <c r="B126" i="2"/>
  <c r="B130" i="2"/>
  <c r="B135" i="2"/>
  <c r="B139" i="2"/>
  <c r="B143" i="2"/>
  <c r="B147" i="2"/>
  <c r="B152" i="2"/>
  <c r="B13" i="2"/>
  <c r="B16" i="2"/>
  <c r="B19" i="2"/>
  <c r="B53" i="2"/>
  <c r="B58" i="2"/>
  <c r="B155" i="2"/>
  <c r="B6" i="2"/>
  <c r="B10" i="2"/>
  <c r="B12" i="2"/>
  <c r="B15" i="2"/>
  <c r="B18" i="2"/>
  <c r="B23" i="2"/>
  <c r="B27" i="2"/>
  <c r="B31" i="2"/>
  <c r="B36" i="2"/>
  <c r="B40" i="2"/>
  <c r="B44" i="2"/>
  <c r="B48" i="2"/>
  <c r="B52" i="2"/>
  <c r="B57" i="2"/>
  <c r="B61" i="2"/>
  <c r="B65" i="2"/>
  <c r="B69" i="2"/>
  <c r="B74" i="2"/>
  <c r="B78" i="2"/>
  <c r="B82" i="2"/>
  <c r="B86" i="2"/>
  <c r="B90" i="2"/>
  <c r="B94" i="2"/>
  <c r="B98" i="2"/>
  <c r="B102" i="2"/>
  <c r="B106" i="2"/>
  <c r="B110" i="2"/>
  <c r="B114" i="2"/>
  <c r="B119" i="2"/>
  <c r="B123" i="2"/>
  <c r="B127" i="2"/>
  <c r="B132" i="2"/>
  <c r="B136" i="2"/>
  <c r="B140" i="2"/>
  <c r="B144" i="2"/>
  <c r="B148" i="2"/>
  <c r="B153" i="2"/>
  <c r="B158" i="2"/>
  <c r="B162" i="2"/>
  <c r="B166" i="2"/>
  <c r="B170" i="2"/>
  <c r="B174" i="2"/>
  <c r="B179" i="2"/>
  <c r="B183" i="2"/>
  <c r="B187" i="2"/>
  <c r="B191" i="2"/>
  <c r="B195" i="2"/>
  <c r="B199" i="2"/>
  <c r="R3" i="2"/>
  <c r="R6" i="2"/>
  <c r="R7" i="2"/>
  <c r="R2" i="2"/>
  <c r="R4" i="2"/>
  <c r="R8" i="2"/>
  <c r="R5" i="2"/>
  <c r="B34" i="2"/>
  <c r="B2" i="2"/>
  <c r="B55" i="2"/>
  <c r="B131" i="2"/>
  <c r="D15" i="4"/>
  <c r="D16" i="4"/>
  <c r="Q32" i="2" l="1"/>
  <c r="R30" i="2"/>
  <c r="Q29" i="2"/>
  <c r="G17" i="4" s="1"/>
  <c r="R26" i="2"/>
  <c r="Q25" i="2"/>
  <c r="G15" i="4" s="1"/>
  <c r="R31" i="2"/>
  <c r="Q30" i="2"/>
  <c r="H17" i="4" s="1"/>
  <c r="R27" i="2"/>
  <c r="Q26" i="2"/>
  <c r="H15" i="4" s="1"/>
  <c r="R24" i="2"/>
  <c r="R29" i="2"/>
  <c r="Q28" i="2"/>
  <c r="F17" i="4" s="1"/>
  <c r="R25" i="2"/>
  <c r="R32" i="2"/>
  <c r="Q31" i="2"/>
  <c r="R28" i="2"/>
  <c r="Q27" i="2"/>
  <c r="I15" i="4" s="1"/>
  <c r="Q24" i="2"/>
  <c r="F15" i="4" l="1"/>
</calcChain>
</file>

<file path=xl/sharedStrings.xml><?xml version="1.0" encoding="utf-8"?>
<sst xmlns="http://schemas.openxmlformats.org/spreadsheetml/2006/main" count="75" uniqueCount="34">
  <si>
    <t>Position</t>
  </si>
  <si>
    <t>C</t>
  </si>
  <si>
    <t>Pos</t>
  </si>
  <si>
    <t>Player</t>
  </si>
  <si>
    <t>Points</t>
  </si>
  <si>
    <t>Cost</t>
  </si>
  <si>
    <t>Lineup Pos</t>
  </si>
  <si>
    <t>Play?</t>
  </si>
  <si>
    <t>Max</t>
  </si>
  <si>
    <t># of Players</t>
  </si>
  <si>
    <t>Total Salary</t>
  </si>
  <si>
    <t>Max Salary</t>
  </si>
  <si>
    <t>Total Points</t>
  </si>
  <si>
    <t>Max Players</t>
  </si>
  <si>
    <t>Num Players</t>
  </si>
  <si>
    <t>Matthew Dorris</t>
  </si>
  <si>
    <t>Lineup</t>
  </si>
  <si>
    <t>OF</t>
  </si>
  <si>
    <t>P</t>
  </si>
  <si>
    <t>2B</t>
  </si>
  <si>
    <t>3B</t>
  </si>
  <si>
    <t>SS</t>
  </si>
  <si>
    <t>1B</t>
  </si>
  <si>
    <t>P 1</t>
  </si>
  <si>
    <t>OF 1</t>
  </si>
  <si>
    <t>OF 2</t>
  </si>
  <si>
    <t>2B 1</t>
  </si>
  <si>
    <t>3B 1</t>
  </si>
  <si>
    <t>C 1</t>
  </si>
  <si>
    <t>SS 1</t>
  </si>
  <si>
    <t>1B 1</t>
  </si>
  <si>
    <t>OF 3</t>
  </si>
  <si>
    <t>Baseball Optimization Analysis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</si>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</sst>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6"/>
      <color indexed="51"/>
      <name val="Arial"/>
      <family val="2"/>
    </font>
    <font>
      <sz val="22"/>
      <name val="Arial"/>
      <family val="2"/>
    </font>
    <font>
      <sz val="10"/>
      <color rgb="FF7030A0"/>
      <name val="Arial"/>
      <family val="2"/>
    </font>
    <font>
      <b/>
      <sz val="16"/>
      <color theme="1"/>
      <name val="Cambria"/>
      <family val="1"/>
    </font>
    <font>
      <b/>
      <sz val="7"/>
      <color theme="1"/>
      <name val="Cambria"/>
      <family val="1"/>
    </font>
    <font>
      <b/>
      <sz val="7"/>
      <color rgb="FF7030A0"/>
      <name val="Cambria"/>
      <family val="1"/>
    </font>
    <font>
      <sz val="7"/>
      <name val="Arial"/>
      <family val="1"/>
    </font>
    <font>
      <sz val="10"/>
      <color rgb="FF0070C0"/>
      <name val="Arial"/>
      <family val="2"/>
    </font>
    <font>
      <sz val="11"/>
      <color rgb="FF0070C0"/>
      <name val="Calibri"/>
      <family val="2"/>
      <scheme val="minor"/>
    </font>
    <font>
      <sz val="10"/>
      <color rgb="FF33CCFF"/>
      <name val="Arial"/>
      <family val="2"/>
    </font>
    <font>
      <sz val="7"/>
      <color rgb="FF33CCFF"/>
      <name val="Arial"/>
      <family val="2"/>
    </font>
    <font>
      <b/>
      <sz val="28"/>
      <color rgb="FF7030A0"/>
      <name val="Cambria"/>
      <family val="1"/>
    </font>
    <font>
      <b/>
      <sz val="22"/>
      <color rgb="FF7030A0"/>
      <name val="Cambria"/>
      <family val="1"/>
    </font>
    <font>
      <sz val="14"/>
      <name val="Arial"/>
      <family val="2"/>
    </font>
    <font>
      <sz val="14"/>
      <color rgb="FF7030A0"/>
      <name val="Arial"/>
      <family val="2"/>
    </font>
    <font>
      <sz val="24"/>
      <color rgb="FF000000"/>
      <name val="Calibri"/>
      <family val="2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33CCFF"/>
        <bgColor indexed="64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9"/>
      </bottom>
      <diagonal/>
    </border>
    <border>
      <left/>
      <right/>
      <top/>
      <bottom style="thick">
        <color indexed="9"/>
      </bottom>
      <diagonal/>
    </border>
    <border>
      <left/>
      <right style="thick">
        <color indexed="64"/>
      </right>
      <top/>
      <bottom style="thick">
        <color indexed="9"/>
      </bottom>
      <diagonal/>
    </border>
    <border>
      <left style="thick">
        <color auto="1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 style="thick">
        <color auto="1"/>
      </right>
      <top style="thick">
        <color indexed="9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45">
    <xf numFmtId="0" fontId="0" fillId="0" borderId="0" xfId="0"/>
    <xf numFmtId="0" fontId="0" fillId="0" borderId="0" xfId="0" applyFont="1"/>
    <xf numFmtId="0" fontId="0" fillId="0" borderId="0" xfId="0"/>
    <xf numFmtId="0" fontId="18" fillId="33" borderId="10" xfId="42" applyFill="1" applyBorder="1"/>
    <xf numFmtId="0" fontId="18" fillId="33" borderId="11" xfId="42" applyFill="1" applyBorder="1"/>
    <xf numFmtId="0" fontId="18" fillId="33" borderId="12" xfId="42" applyFill="1" applyBorder="1"/>
    <xf numFmtId="0" fontId="18" fillId="33" borderId="13" xfId="42" applyFill="1" applyBorder="1"/>
    <xf numFmtId="0" fontId="18" fillId="33" borderId="0" xfId="42" applyFill="1" applyBorder="1"/>
    <xf numFmtId="0" fontId="18" fillId="33" borderId="14" xfId="42" applyFill="1" applyBorder="1"/>
    <xf numFmtId="0" fontId="18" fillId="33" borderId="15" xfId="42" applyFill="1" applyBorder="1"/>
    <xf numFmtId="0" fontId="18" fillId="33" borderId="16" xfId="42" applyFill="1" applyBorder="1"/>
    <xf numFmtId="0" fontId="18" fillId="33" borderId="17" xfId="42" applyFill="1" applyBorder="1"/>
    <xf numFmtId="0" fontId="18" fillId="34" borderId="0" xfId="42" applyFill="1"/>
    <xf numFmtId="0" fontId="20" fillId="34" borderId="0" xfId="42" applyFont="1" applyFill="1"/>
    <xf numFmtId="0" fontId="24" fillId="34" borderId="0" xfId="42" applyFont="1" applyFill="1"/>
    <xf numFmtId="0" fontId="22" fillId="35" borderId="0" xfId="0" applyFont="1" applyFill="1"/>
    <xf numFmtId="0" fontId="23" fillId="35" borderId="0" xfId="0" applyFont="1" applyFill="1"/>
    <xf numFmtId="0" fontId="25" fillId="34" borderId="0" xfId="42" applyFont="1" applyFill="1"/>
    <xf numFmtId="0" fontId="18" fillId="36" borderId="19" xfId="42" applyFill="1" applyBorder="1"/>
    <xf numFmtId="0" fontId="26" fillId="37" borderId="0" xfId="42" applyFont="1" applyFill="1"/>
    <xf numFmtId="0" fontId="27" fillId="37" borderId="0" xfId="0" applyFont="1" applyFill="1"/>
    <xf numFmtId="0" fontId="18" fillId="37" borderId="0" xfId="42" applyFill="1"/>
    <xf numFmtId="0" fontId="21" fillId="37" borderId="0" xfId="42" applyFont="1" applyFill="1"/>
    <xf numFmtId="0" fontId="0" fillId="37" borderId="0" xfId="0" applyFill="1"/>
    <xf numFmtId="0" fontId="18" fillId="36" borderId="18" xfId="42" applyFill="1" applyBorder="1"/>
    <xf numFmtId="0" fontId="18" fillId="36" borderId="20" xfId="42" applyFill="1" applyBorder="1"/>
    <xf numFmtId="0" fontId="18" fillId="36" borderId="13" xfId="42" applyFill="1" applyBorder="1"/>
    <xf numFmtId="0" fontId="18" fillId="36" borderId="0" xfId="42" applyFill="1" applyBorder="1"/>
    <xf numFmtId="0" fontId="0" fillId="36" borderId="0" xfId="0" applyFill="1"/>
    <xf numFmtId="0" fontId="18" fillId="36" borderId="14" xfId="42" applyFill="1" applyBorder="1"/>
    <xf numFmtId="0" fontId="26" fillId="36" borderId="0" xfId="42" applyFont="1" applyFill="1" applyBorder="1"/>
    <xf numFmtId="0" fontId="27" fillId="36" borderId="0" xfId="0" applyFont="1" applyFill="1"/>
    <xf numFmtId="0" fontId="18" fillId="36" borderId="21" xfId="42" applyFill="1" applyBorder="1"/>
    <xf numFmtId="0" fontId="18" fillId="36" borderId="22" xfId="42" applyFill="1" applyBorder="1"/>
    <xf numFmtId="0" fontId="18" fillId="36" borderId="23" xfId="42" applyFill="1" applyBorder="1"/>
    <xf numFmtId="3" fontId="0" fillId="0" borderId="0" xfId="0" applyNumberFormat="1"/>
    <xf numFmtId="0" fontId="28" fillId="37" borderId="0" xfId="42" applyFont="1" applyFill="1"/>
    <xf numFmtId="0" fontId="29" fillId="37" borderId="0" xfId="42" applyFont="1" applyFill="1"/>
    <xf numFmtId="0" fontId="30" fillId="34" borderId="0" xfId="42" applyFont="1" applyFill="1"/>
    <xf numFmtId="0" fontId="31" fillId="34" borderId="0" xfId="42" applyFont="1" applyFill="1"/>
    <xf numFmtId="0" fontId="32" fillId="34" borderId="0" xfId="42" applyFont="1" applyFill="1"/>
    <xf numFmtId="0" fontId="33" fillId="34" borderId="0" xfId="42" applyFont="1" applyFill="1"/>
    <xf numFmtId="0" fontId="0" fillId="38" borderId="0" xfId="0" applyFill="1"/>
    <xf numFmtId="0" fontId="19" fillId="33" borderId="0" xfId="42" applyFont="1" applyFill="1" applyBorder="1" applyAlignment="1" applyProtection="1">
      <alignment horizontal="center"/>
    </xf>
    <xf numFmtId="0" fontId="19" fillId="33" borderId="0" xfId="42" applyFont="1" applyFill="1" applyBorder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33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6</xdr:row>
          <xdr:rowOff>57150</xdr:rowOff>
        </xdr:from>
        <xdr:to>
          <xdr:col>4</xdr:col>
          <xdr:colOff>400050</xdr:colOff>
          <xdr:row>10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1162050</xdr:colOff>
      <xdr:row>4</xdr:row>
      <xdr:rowOff>37744</xdr:rowOff>
    </xdr:from>
    <xdr:to>
      <xdr:col>6</xdr:col>
      <xdr:colOff>133349</xdr:colOff>
      <xdr:row>11</xdr:row>
      <xdr:rowOff>152400</xdr:rowOff>
    </xdr:to>
    <xdr:pic>
      <xdr:nvPicPr>
        <xdr:cNvPr id="6" name="Picture 5" descr="Image result for mlb logo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33825" y="952144"/>
          <a:ext cx="1943099" cy="14576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1304396</xdr:colOff>
      <xdr:row>4</xdr:row>
      <xdr:rowOff>28575</xdr:rowOff>
    </xdr:from>
    <xdr:to>
      <xdr:col>8</xdr:col>
      <xdr:colOff>314323</xdr:colOff>
      <xdr:row>11</xdr:row>
      <xdr:rowOff>180973</xdr:rowOff>
    </xdr:to>
    <xdr:pic>
      <xdr:nvPicPr>
        <xdr:cNvPr id="7" name="Picture 6" descr="Image result for draftkings logo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7971" y="942975"/>
          <a:ext cx="2076977" cy="14954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340"/>
  <sheetViews>
    <sheetView topLeftCell="A23" zoomScale="106" zoomScaleNormal="106" workbookViewId="0">
      <selection activeCell="E36" sqref="E36"/>
    </sheetView>
  </sheetViews>
  <sheetFormatPr defaultRowHeight="15" x14ac:dyDescent="0.25"/>
  <cols>
    <col min="1" max="1" width="9.140625" style="2"/>
    <col min="2" max="2" width="10.5703125" style="2" bestFit="1" customWidth="1"/>
    <col min="3" max="4" width="9.140625" style="2"/>
    <col min="5" max="5" width="23.5703125" style="2" bestFit="1" customWidth="1"/>
    <col min="6" max="6" width="19" style="2" bestFit="1" customWidth="1"/>
    <col min="7" max="13" width="9.140625" style="2"/>
    <col min="14" max="14" width="11.42578125" style="2" bestFit="1" customWidth="1"/>
    <col min="15" max="15" width="17.28515625" style="2" bestFit="1" customWidth="1"/>
    <col min="16" max="16" width="12.140625" style="2" bestFit="1" customWidth="1"/>
    <col min="17" max="20" width="9.140625" style="2"/>
    <col min="21" max="21" width="12.140625" style="2" bestFit="1" customWidth="1"/>
    <col min="22" max="22" width="17.7109375" style="2" bestFit="1" customWidth="1"/>
    <col min="23" max="23" width="12.85546875" style="2" bestFit="1" customWidth="1"/>
    <col min="24" max="16384" width="9.140625" style="2"/>
  </cols>
  <sheetData>
    <row r="1" spans="1:18" x14ac:dyDescent="0.25">
      <c r="A1" s="2" t="s">
        <v>0</v>
      </c>
      <c r="B1" s="2" t="s">
        <v>6</v>
      </c>
      <c r="C1" s="2" t="s">
        <v>7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18</v>
      </c>
      <c r="I1" s="2" t="s">
        <v>17</v>
      </c>
      <c r="J1" s="2" t="s">
        <v>19</v>
      </c>
      <c r="K1" s="2" t="s">
        <v>20</v>
      </c>
      <c r="L1" s="2" t="s">
        <v>1</v>
      </c>
      <c r="M1" s="2" t="s">
        <v>21</v>
      </c>
      <c r="N1" s="2" t="s">
        <v>22</v>
      </c>
      <c r="P1" s="2" t="s">
        <v>0</v>
      </c>
      <c r="Q1" s="2" t="s">
        <v>8</v>
      </c>
      <c r="R1" s="2" t="s">
        <v>9</v>
      </c>
    </row>
    <row r="2" spans="1:18" x14ac:dyDescent="0.25">
      <c r="A2" s="1">
        <f>IF(C2=1,D2,0)</f>
        <v>0</v>
      </c>
      <c r="B2" s="1">
        <f>IF(C2=0,0,A2&amp;" "&amp;COUNTIF($A$1:$A2,A2))</f>
        <v>0</v>
      </c>
      <c r="C2" s="1">
        <v>0</v>
      </c>
      <c r="D2" s="42" t="s">
        <v>18</v>
      </c>
      <c r="H2" s="2">
        <f>IF($D2=H$1,$C2*1,0)</f>
        <v>0</v>
      </c>
      <c r="I2" s="2">
        <f t="shared" ref="I2:L2" si="0">IF($D2=I$1,$C2*1,0)</f>
        <v>0</v>
      </c>
      <c r="J2" s="2">
        <f t="shared" si="0"/>
        <v>0</v>
      </c>
      <c r="K2" s="2">
        <f>IF($D2=K$1,$C2*1,0)</f>
        <v>0</v>
      </c>
      <c r="L2" s="2">
        <f t="shared" si="0"/>
        <v>0</v>
      </c>
      <c r="M2" s="2">
        <f>IF($D2=M$1,$C2*1,0)</f>
        <v>0</v>
      </c>
      <c r="N2" s="2">
        <f>IF($D2=N$1,$C2*1,0)</f>
        <v>0</v>
      </c>
      <c r="P2" s="2" t="s">
        <v>18</v>
      </c>
      <c r="Q2" s="2">
        <v>1</v>
      </c>
      <c r="R2" s="2">
        <f>SUM(H2:H200)</f>
        <v>0</v>
      </c>
    </row>
    <row r="3" spans="1:18" x14ac:dyDescent="0.25">
      <c r="A3" s="1">
        <f t="shared" ref="A3:A66" si="1">IF(C3=1,D3,0)</f>
        <v>0</v>
      </c>
      <c r="B3" s="2">
        <f>IF(C3=0,0,A3&amp;" "&amp;COUNTIF($A$1:$A3,A3))</f>
        <v>0</v>
      </c>
      <c r="C3" s="1">
        <v>0</v>
      </c>
      <c r="D3" s="42" t="s">
        <v>18</v>
      </c>
      <c r="H3" s="2">
        <f t="shared" ref="H3:N39" si="2">IF($D3=H$1,$C3*1,0)</f>
        <v>0</v>
      </c>
      <c r="I3" s="2">
        <f t="shared" si="2"/>
        <v>0</v>
      </c>
      <c r="J3" s="2">
        <f t="shared" si="2"/>
        <v>0</v>
      </c>
      <c r="K3" s="2">
        <f t="shared" si="2"/>
        <v>0</v>
      </c>
      <c r="L3" s="2">
        <f t="shared" si="2"/>
        <v>0</v>
      </c>
      <c r="M3" s="2">
        <f t="shared" si="2"/>
        <v>0</v>
      </c>
      <c r="N3" s="2">
        <f t="shared" si="2"/>
        <v>0</v>
      </c>
      <c r="P3" s="2" t="s">
        <v>17</v>
      </c>
      <c r="Q3" s="2">
        <v>3</v>
      </c>
      <c r="R3" s="2">
        <f>SUM(I2:I339)</f>
        <v>0</v>
      </c>
    </row>
    <row r="4" spans="1:18" x14ac:dyDescent="0.25">
      <c r="A4" s="1">
        <f t="shared" si="1"/>
        <v>0</v>
      </c>
      <c r="B4" s="2">
        <f>IF(C4=0,0,A4&amp;" "&amp;COUNTIF($A$1:$A4,A4))</f>
        <v>0</v>
      </c>
      <c r="C4" s="1">
        <v>0</v>
      </c>
      <c r="D4" s="42" t="s">
        <v>18</v>
      </c>
      <c r="H4" s="2">
        <f t="shared" si="2"/>
        <v>0</v>
      </c>
      <c r="I4" s="2">
        <f t="shared" si="2"/>
        <v>0</v>
      </c>
      <c r="J4" s="2">
        <f t="shared" si="2"/>
        <v>0</v>
      </c>
      <c r="K4" s="2">
        <f t="shared" si="2"/>
        <v>0</v>
      </c>
      <c r="L4" s="2">
        <f t="shared" si="2"/>
        <v>0</v>
      </c>
      <c r="M4" s="2">
        <f t="shared" si="2"/>
        <v>0</v>
      </c>
      <c r="N4" s="2">
        <f t="shared" si="2"/>
        <v>0</v>
      </c>
      <c r="P4" s="2" t="s">
        <v>19</v>
      </c>
      <c r="Q4" s="2">
        <v>1</v>
      </c>
      <c r="R4" s="2">
        <f>SUM(J2:J339)</f>
        <v>0</v>
      </c>
    </row>
    <row r="5" spans="1:18" x14ac:dyDescent="0.25">
      <c r="A5" s="1">
        <f t="shared" si="1"/>
        <v>0</v>
      </c>
      <c r="B5" s="2">
        <f>IF(C5=0,0,A5&amp;" "&amp;COUNTIF($A$1:$A5,A5))</f>
        <v>0</v>
      </c>
      <c r="C5" s="1">
        <v>0</v>
      </c>
      <c r="D5" s="42" t="s">
        <v>18</v>
      </c>
      <c r="H5" s="2">
        <f t="shared" si="2"/>
        <v>0</v>
      </c>
      <c r="I5" s="2">
        <f t="shared" si="2"/>
        <v>0</v>
      </c>
      <c r="J5" s="2">
        <f t="shared" si="2"/>
        <v>0</v>
      </c>
      <c r="K5" s="2">
        <f t="shared" si="2"/>
        <v>0</v>
      </c>
      <c r="L5" s="2">
        <f t="shared" si="2"/>
        <v>0</v>
      </c>
      <c r="M5" s="2">
        <f t="shared" si="2"/>
        <v>0</v>
      </c>
      <c r="N5" s="2">
        <f t="shared" si="2"/>
        <v>0</v>
      </c>
      <c r="P5" s="2" t="s">
        <v>20</v>
      </c>
      <c r="Q5" s="2">
        <v>1</v>
      </c>
      <c r="R5" s="2">
        <f>SUM(K2:K339)</f>
        <v>0</v>
      </c>
    </row>
    <row r="6" spans="1:18" x14ac:dyDescent="0.25">
      <c r="A6" s="1">
        <f t="shared" si="1"/>
        <v>0</v>
      </c>
      <c r="B6" s="2">
        <f>IF(C6=0,0,A6&amp;" "&amp;COUNTIF($A$1:$A6,A6))</f>
        <v>0</v>
      </c>
      <c r="C6" s="1">
        <v>0</v>
      </c>
      <c r="D6" s="42" t="s">
        <v>18</v>
      </c>
      <c r="H6" s="2">
        <f t="shared" si="2"/>
        <v>0</v>
      </c>
      <c r="I6" s="2">
        <f t="shared" si="2"/>
        <v>0</v>
      </c>
      <c r="J6" s="2">
        <f t="shared" si="2"/>
        <v>0</v>
      </c>
      <c r="K6" s="2">
        <f t="shared" si="2"/>
        <v>0</v>
      </c>
      <c r="L6" s="2">
        <f t="shared" si="2"/>
        <v>0</v>
      </c>
      <c r="M6" s="2">
        <f t="shared" si="2"/>
        <v>0</v>
      </c>
      <c r="N6" s="2">
        <f t="shared" si="2"/>
        <v>0</v>
      </c>
      <c r="P6" s="2" t="s">
        <v>1</v>
      </c>
      <c r="Q6" s="2">
        <v>1</v>
      </c>
      <c r="R6" s="2">
        <f>SUM(L2:L339)</f>
        <v>0</v>
      </c>
    </row>
    <row r="7" spans="1:18" x14ac:dyDescent="0.25">
      <c r="A7" s="1">
        <f t="shared" si="1"/>
        <v>0</v>
      </c>
      <c r="B7" s="2">
        <f>IF(C7=0,0,A7&amp;" "&amp;COUNTIF($A$1:$A7,A7))</f>
        <v>0</v>
      </c>
      <c r="C7" s="1">
        <v>0</v>
      </c>
      <c r="D7" s="42" t="s">
        <v>18</v>
      </c>
      <c r="H7" s="2">
        <f t="shared" si="2"/>
        <v>0</v>
      </c>
      <c r="I7" s="2">
        <f t="shared" si="2"/>
        <v>0</v>
      </c>
      <c r="J7" s="2">
        <f t="shared" si="2"/>
        <v>0</v>
      </c>
      <c r="K7" s="2">
        <f t="shared" si="2"/>
        <v>0</v>
      </c>
      <c r="L7" s="2">
        <f t="shared" si="2"/>
        <v>0</v>
      </c>
      <c r="M7" s="2">
        <f t="shared" si="2"/>
        <v>0</v>
      </c>
      <c r="N7" s="2">
        <f t="shared" si="2"/>
        <v>0</v>
      </c>
      <c r="P7" s="2" t="s">
        <v>21</v>
      </c>
      <c r="Q7" s="2">
        <v>1</v>
      </c>
      <c r="R7" s="2">
        <f>SUM(M2:M339)</f>
        <v>0</v>
      </c>
    </row>
    <row r="8" spans="1:18" x14ac:dyDescent="0.25">
      <c r="A8" s="1">
        <f t="shared" si="1"/>
        <v>0</v>
      </c>
      <c r="B8" s="2">
        <f>IF(C8=0,0,A8&amp;" "&amp;COUNTIF($A$1:$A8,A8))</f>
        <v>0</v>
      </c>
      <c r="C8" s="1">
        <v>0</v>
      </c>
      <c r="D8" s="42" t="s">
        <v>18</v>
      </c>
      <c r="H8" s="2">
        <f t="shared" si="2"/>
        <v>0</v>
      </c>
      <c r="I8" s="2">
        <f t="shared" si="2"/>
        <v>0</v>
      </c>
      <c r="J8" s="2">
        <f t="shared" si="2"/>
        <v>0</v>
      </c>
      <c r="K8" s="2">
        <f t="shared" si="2"/>
        <v>0</v>
      </c>
      <c r="L8" s="2">
        <f t="shared" si="2"/>
        <v>0</v>
      </c>
      <c r="M8" s="2">
        <f t="shared" si="2"/>
        <v>0</v>
      </c>
      <c r="N8" s="2">
        <f t="shared" si="2"/>
        <v>0</v>
      </c>
      <c r="P8" s="2" t="s">
        <v>22</v>
      </c>
      <c r="Q8" s="2">
        <v>1</v>
      </c>
      <c r="R8" s="2">
        <f>SUM(N2:N339)</f>
        <v>0</v>
      </c>
    </row>
    <row r="9" spans="1:18" x14ac:dyDescent="0.25">
      <c r="A9" s="1">
        <f t="shared" si="1"/>
        <v>0</v>
      </c>
      <c r="B9" s="2">
        <f>IF(C9=0,0,A9&amp;" "&amp;COUNTIF($A$1:$A9,A9))</f>
        <v>0</v>
      </c>
      <c r="C9" s="1">
        <v>0</v>
      </c>
      <c r="D9" s="42" t="s">
        <v>18</v>
      </c>
      <c r="H9" s="2">
        <f t="shared" si="2"/>
        <v>0</v>
      </c>
      <c r="I9" s="2">
        <f t="shared" si="2"/>
        <v>0</v>
      </c>
      <c r="J9" s="2">
        <f t="shared" si="2"/>
        <v>0</v>
      </c>
      <c r="K9" s="2">
        <f t="shared" si="2"/>
        <v>0</v>
      </c>
      <c r="L9" s="2">
        <f t="shared" si="2"/>
        <v>0</v>
      </c>
      <c r="M9" s="2">
        <f t="shared" si="2"/>
        <v>0</v>
      </c>
      <c r="N9" s="2">
        <f t="shared" si="2"/>
        <v>0</v>
      </c>
    </row>
    <row r="10" spans="1:18" x14ac:dyDescent="0.25">
      <c r="A10" s="1">
        <f t="shared" si="1"/>
        <v>0</v>
      </c>
      <c r="B10" s="2">
        <f>IF(C10=0,0,A10&amp;" "&amp;COUNTIF($A$1:$A10,A10))</f>
        <v>0</v>
      </c>
      <c r="C10" s="1">
        <v>0</v>
      </c>
      <c r="D10" s="42" t="s">
        <v>18</v>
      </c>
      <c r="H10" s="2">
        <f t="shared" si="2"/>
        <v>0</v>
      </c>
      <c r="I10" s="2">
        <f t="shared" si="2"/>
        <v>0</v>
      </c>
      <c r="J10" s="2">
        <f t="shared" si="2"/>
        <v>0</v>
      </c>
      <c r="K10" s="2">
        <f t="shared" si="2"/>
        <v>0</v>
      </c>
      <c r="L10" s="2">
        <f t="shared" si="2"/>
        <v>0</v>
      </c>
      <c r="M10" s="2">
        <f t="shared" si="2"/>
        <v>0</v>
      </c>
      <c r="N10" s="2">
        <f t="shared" si="2"/>
        <v>0</v>
      </c>
      <c r="P10" s="2" t="s">
        <v>10</v>
      </c>
      <c r="Q10" s="2">
        <f>SUMPRODUCT(C2:C300,G2:G300)</f>
        <v>0</v>
      </c>
    </row>
    <row r="11" spans="1:18" x14ac:dyDescent="0.25">
      <c r="A11" s="1">
        <f t="shared" si="1"/>
        <v>0</v>
      </c>
      <c r="B11" s="2">
        <f>IF(C11=0,0,A11&amp;" "&amp;COUNTIF($A$1:$A11,A11))</f>
        <v>0</v>
      </c>
      <c r="C11" s="1">
        <v>0</v>
      </c>
      <c r="D11" s="42" t="s">
        <v>18</v>
      </c>
      <c r="H11" s="2">
        <f t="shared" si="2"/>
        <v>0</v>
      </c>
      <c r="I11" s="2">
        <f t="shared" si="2"/>
        <v>0</v>
      </c>
      <c r="J11" s="2">
        <f t="shared" si="2"/>
        <v>0</v>
      </c>
      <c r="K11" s="2">
        <f t="shared" si="2"/>
        <v>0</v>
      </c>
      <c r="L11" s="2">
        <f t="shared" si="2"/>
        <v>0</v>
      </c>
      <c r="M11" s="2">
        <f t="shared" si="2"/>
        <v>0</v>
      </c>
      <c r="N11" s="2">
        <f t="shared" si="2"/>
        <v>0</v>
      </c>
      <c r="P11" s="2" t="s">
        <v>11</v>
      </c>
      <c r="Q11" s="2">
        <v>35000</v>
      </c>
    </row>
    <row r="12" spans="1:18" x14ac:dyDescent="0.25">
      <c r="A12" s="1">
        <f t="shared" si="1"/>
        <v>0</v>
      </c>
      <c r="B12" s="2">
        <f>IF(C12=0,0,A12&amp;" "&amp;COUNTIF($A$1:$A12,A12))</f>
        <v>0</v>
      </c>
      <c r="C12" s="1">
        <v>0</v>
      </c>
      <c r="D12" s="42" t="s">
        <v>18</v>
      </c>
      <c r="H12" s="2">
        <f t="shared" si="2"/>
        <v>0</v>
      </c>
      <c r="I12" s="2">
        <f t="shared" si="2"/>
        <v>0</v>
      </c>
      <c r="J12" s="2">
        <f t="shared" si="2"/>
        <v>0</v>
      </c>
      <c r="K12" s="2">
        <f t="shared" si="2"/>
        <v>0</v>
      </c>
      <c r="L12" s="2">
        <f t="shared" si="2"/>
        <v>0</v>
      </c>
      <c r="M12" s="2">
        <f t="shared" si="2"/>
        <v>0</v>
      </c>
      <c r="N12" s="2">
        <f t="shared" si="2"/>
        <v>0</v>
      </c>
    </row>
    <row r="13" spans="1:18" x14ac:dyDescent="0.25">
      <c r="A13" s="1">
        <f t="shared" si="1"/>
        <v>0</v>
      </c>
      <c r="B13" s="2">
        <f>IF(C13=0,0,A13&amp;" "&amp;COUNTIF($A$1:$A13,A13))</f>
        <v>0</v>
      </c>
      <c r="C13" s="1">
        <v>0</v>
      </c>
      <c r="D13" s="42" t="s">
        <v>18</v>
      </c>
      <c r="H13" s="2">
        <f t="shared" si="2"/>
        <v>0</v>
      </c>
      <c r="I13" s="2">
        <f t="shared" si="2"/>
        <v>0</v>
      </c>
      <c r="J13" s="2">
        <f t="shared" si="2"/>
        <v>0</v>
      </c>
      <c r="K13" s="2">
        <f t="shared" si="2"/>
        <v>0</v>
      </c>
      <c r="L13" s="2">
        <f t="shared" si="2"/>
        <v>0</v>
      </c>
      <c r="M13" s="2">
        <f t="shared" si="2"/>
        <v>0</v>
      </c>
      <c r="N13" s="2">
        <f t="shared" si="2"/>
        <v>0</v>
      </c>
      <c r="P13" s="2" t="s">
        <v>12</v>
      </c>
      <c r="Q13" s="2">
        <f>SUMPRODUCT(C2:C339,F2:F339)</f>
        <v>0</v>
      </c>
    </row>
    <row r="14" spans="1:18" x14ac:dyDescent="0.25">
      <c r="A14" s="1">
        <f t="shared" si="1"/>
        <v>0</v>
      </c>
      <c r="B14" s="2">
        <f>IF(C14=0,0,A14&amp;" "&amp;COUNTIF($A$1:$A14,A14))</f>
        <v>0</v>
      </c>
      <c r="C14" s="1">
        <v>0</v>
      </c>
      <c r="D14" s="42" t="s">
        <v>18</v>
      </c>
      <c r="H14" s="2">
        <f t="shared" si="2"/>
        <v>0</v>
      </c>
      <c r="I14" s="2">
        <f t="shared" si="2"/>
        <v>0</v>
      </c>
      <c r="J14" s="2">
        <f t="shared" si="2"/>
        <v>0</v>
      </c>
      <c r="K14" s="2">
        <f t="shared" si="2"/>
        <v>0</v>
      </c>
      <c r="L14" s="2">
        <f t="shared" si="2"/>
        <v>0</v>
      </c>
      <c r="M14" s="2">
        <f t="shared" si="2"/>
        <v>0</v>
      </c>
      <c r="N14" s="2">
        <f t="shared" si="2"/>
        <v>0</v>
      </c>
    </row>
    <row r="15" spans="1:18" x14ac:dyDescent="0.25">
      <c r="A15" s="1">
        <f t="shared" si="1"/>
        <v>0</v>
      </c>
      <c r="B15" s="2">
        <f>IF(C15=0,0,A15&amp;" "&amp;COUNTIF($A$1:$A15,A15))</f>
        <v>0</v>
      </c>
      <c r="C15" s="1">
        <v>0</v>
      </c>
      <c r="D15" s="42" t="s">
        <v>18</v>
      </c>
      <c r="H15" s="2">
        <f t="shared" si="2"/>
        <v>0</v>
      </c>
      <c r="I15" s="2">
        <f t="shared" si="2"/>
        <v>0</v>
      </c>
      <c r="J15" s="2">
        <f t="shared" si="2"/>
        <v>0</v>
      </c>
      <c r="K15" s="2">
        <f t="shared" si="2"/>
        <v>0</v>
      </c>
      <c r="L15" s="2">
        <f t="shared" si="2"/>
        <v>0</v>
      </c>
      <c r="M15" s="2">
        <f t="shared" si="2"/>
        <v>0</v>
      </c>
      <c r="N15" s="2">
        <f t="shared" si="2"/>
        <v>0</v>
      </c>
      <c r="P15" s="2" t="s">
        <v>13</v>
      </c>
      <c r="Q15" s="2">
        <v>9</v>
      </c>
    </row>
    <row r="16" spans="1:18" x14ac:dyDescent="0.25">
      <c r="A16" s="1">
        <f t="shared" si="1"/>
        <v>0</v>
      </c>
      <c r="B16" s="2">
        <f>IF(C16=0,0,A16&amp;" "&amp;COUNTIF($A$1:$A16,A16))</f>
        <v>0</v>
      </c>
      <c r="C16" s="1">
        <v>0</v>
      </c>
      <c r="D16" s="42" t="s">
        <v>18</v>
      </c>
      <c r="H16" s="2">
        <v>0</v>
      </c>
      <c r="I16" s="2">
        <v>0</v>
      </c>
      <c r="J16" s="2">
        <f t="shared" si="2"/>
        <v>0</v>
      </c>
      <c r="K16" s="2">
        <f t="shared" si="2"/>
        <v>0</v>
      </c>
      <c r="L16" s="2">
        <f t="shared" si="2"/>
        <v>0</v>
      </c>
      <c r="M16" s="2">
        <f t="shared" si="2"/>
        <v>0</v>
      </c>
      <c r="N16" s="2">
        <f t="shared" si="2"/>
        <v>0</v>
      </c>
      <c r="P16" s="2" t="s">
        <v>14</v>
      </c>
      <c r="Q16" s="2">
        <f>SUM(C:C)</f>
        <v>0</v>
      </c>
    </row>
    <row r="17" spans="1:18" x14ac:dyDescent="0.25">
      <c r="A17" s="1">
        <f t="shared" si="1"/>
        <v>0</v>
      </c>
      <c r="B17" s="2">
        <f>IF(C17=0,0,A17&amp;" "&amp;COUNTIF($A$1:$A17,A17))</f>
        <v>0</v>
      </c>
      <c r="C17" s="1">
        <v>0</v>
      </c>
      <c r="D17" s="42" t="s">
        <v>18</v>
      </c>
      <c r="H17" s="2">
        <v>0</v>
      </c>
      <c r="I17" s="2">
        <v>0</v>
      </c>
      <c r="J17" s="2">
        <f t="shared" si="2"/>
        <v>0</v>
      </c>
      <c r="K17" s="2">
        <f t="shared" si="2"/>
        <v>0</v>
      </c>
      <c r="L17" s="2">
        <f t="shared" si="2"/>
        <v>0</v>
      </c>
      <c r="M17" s="2">
        <f t="shared" si="2"/>
        <v>0</v>
      </c>
      <c r="N17" s="2">
        <f t="shared" si="2"/>
        <v>0</v>
      </c>
    </row>
    <row r="18" spans="1:18" x14ac:dyDescent="0.25">
      <c r="A18" s="1">
        <f t="shared" si="1"/>
        <v>0</v>
      </c>
      <c r="B18" s="2">
        <f>IF(C18=0,0,A18&amp;" "&amp;COUNTIF($A$1:$A18,A18))</f>
        <v>0</v>
      </c>
      <c r="C18" s="1">
        <v>0</v>
      </c>
      <c r="D18" s="42" t="s">
        <v>18</v>
      </c>
      <c r="H18" s="2">
        <v>0</v>
      </c>
      <c r="I18" s="2">
        <v>0</v>
      </c>
      <c r="J18" s="2">
        <f t="shared" si="2"/>
        <v>0</v>
      </c>
      <c r="K18" s="2">
        <f t="shared" si="2"/>
        <v>0</v>
      </c>
      <c r="L18" s="2">
        <f t="shared" si="2"/>
        <v>0</v>
      </c>
      <c r="M18" s="2">
        <f t="shared" si="2"/>
        <v>0</v>
      </c>
      <c r="N18" s="2">
        <f t="shared" si="2"/>
        <v>0</v>
      </c>
    </row>
    <row r="19" spans="1:18" x14ac:dyDescent="0.25">
      <c r="A19" s="1">
        <f t="shared" si="1"/>
        <v>0</v>
      </c>
      <c r="B19" s="2">
        <f>IF(C19=0,0,A19&amp;" "&amp;COUNTIF($A$1:$A19,A19))</f>
        <v>0</v>
      </c>
      <c r="C19" s="1">
        <v>0</v>
      </c>
      <c r="D19" s="42" t="s">
        <v>18</v>
      </c>
      <c r="H19" s="2">
        <v>0</v>
      </c>
      <c r="I19" s="2">
        <v>0</v>
      </c>
      <c r="J19" s="2">
        <f t="shared" si="2"/>
        <v>0</v>
      </c>
      <c r="K19" s="2">
        <f t="shared" si="2"/>
        <v>0</v>
      </c>
      <c r="L19" s="2">
        <f t="shared" si="2"/>
        <v>0</v>
      </c>
      <c r="M19" s="2">
        <f t="shared" si="2"/>
        <v>0</v>
      </c>
      <c r="N19" s="2">
        <f t="shared" si="2"/>
        <v>0</v>
      </c>
    </row>
    <row r="20" spans="1:18" x14ac:dyDescent="0.25">
      <c r="A20" s="1">
        <f t="shared" si="1"/>
        <v>0</v>
      </c>
      <c r="B20" s="2">
        <f>IF(C20=0,0,A20&amp;" "&amp;COUNTIF($A$1:$A20,A20))</f>
        <v>0</v>
      </c>
      <c r="C20" s="1">
        <v>0</v>
      </c>
      <c r="D20" s="42" t="s">
        <v>18</v>
      </c>
      <c r="H20" s="2">
        <v>0</v>
      </c>
      <c r="I20" s="2">
        <v>0</v>
      </c>
      <c r="J20" s="2">
        <f t="shared" si="2"/>
        <v>0</v>
      </c>
      <c r="K20" s="2">
        <f t="shared" si="2"/>
        <v>0</v>
      </c>
      <c r="L20" s="2">
        <f t="shared" si="2"/>
        <v>0</v>
      </c>
      <c r="M20" s="2">
        <f t="shared" si="2"/>
        <v>0</v>
      </c>
      <c r="N20" s="2">
        <f t="shared" si="2"/>
        <v>0</v>
      </c>
    </row>
    <row r="21" spans="1:18" x14ac:dyDescent="0.25">
      <c r="A21" s="1">
        <f t="shared" si="1"/>
        <v>0</v>
      </c>
      <c r="B21" s="2">
        <f>IF(C21=0,0,A21&amp;" "&amp;COUNTIF($A$1:$A21,A21))</f>
        <v>0</v>
      </c>
      <c r="C21" s="1">
        <v>0</v>
      </c>
      <c r="D21" s="42" t="s">
        <v>18</v>
      </c>
      <c r="H21" s="2">
        <v>0</v>
      </c>
      <c r="I21" s="2">
        <v>0</v>
      </c>
      <c r="J21" s="2">
        <f t="shared" si="2"/>
        <v>0</v>
      </c>
      <c r="K21" s="2">
        <f t="shared" si="2"/>
        <v>0</v>
      </c>
      <c r="L21" s="2">
        <f t="shared" si="2"/>
        <v>0</v>
      </c>
      <c r="M21" s="2">
        <f t="shared" si="2"/>
        <v>0</v>
      </c>
      <c r="N21" s="2">
        <f t="shared" si="2"/>
        <v>0</v>
      </c>
    </row>
    <row r="22" spans="1:18" x14ac:dyDescent="0.25">
      <c r="A22" s="1">
        <f t="shared" si="1"/>
        <v>0</v>
      </c>
      <c r="B22" s="2">
        <f>IF(C22=0,0,A22&amp;" "&amp;COUNTIF($A$1:$A22,A22))</f>
        <v>0</v>
      </c>
      <c r="C22" s="1">
        <v>0</v>
      </c>
      <c r="D22" s="42" t="s">
        <v>18</v>
      </c>
      <c r="H22" s="2">
        <v>0</v>
      </c>
      <c r="I22" s="2">
        <v>0</v>
      </c>
      <c r="J22" s="2">
        <f t="shared" si="2"/>
        <v>0</v>
      </c>
      <c r="K22" s="2">
        <f t="shared" si="2"/>
        <v>0</v>
      </c>
      <c r="L22" s="2">
        <f t="shared" si="2"/>
        <v>0</v>
      </c>
      <c r="M22" s="2">
        <f t="shared" si="2"/>
        <v>0</v>
      </c>
      <c r="N22" s="2">
        <f t="shared" si="2"/>
        <v>0</v>
      </c>
    </row>
    <row r="23" spans="1:18" x14ac:dyDescent="0.25">
      <c r="A23" s="1">
        <f t="shared" si="1"/>
        <v>0</v>
      </c>
      <c r="B23" s="2">
        <f>IF(C23=0,0,A23&amp;" "&amp;COUNTIF($A$1:$A23,A23))</f>
        <v>0</v>
      </c>
      <c r="C23" s="1">
        <v>0</v>
      </c>
      <c r="D23" s="42" t="s">
        <v>18</v>
      </c>
      <c r="H23" s="2">
        <v>0</v>
      </c>
      <c r="I23" s="2">
        <v>0</v>
      </c>
      <c r="J23" s="2">
        <f t="shared" si="2"/>
        <v>0</v>
      </c>
      <c r="K23" s="2">
        <f t="shared" si="2"/>
        <v>0</v>
      </c>
      <c r="L23" s="2">
        <f t="shared" si="2"/>
        <v>0</v>
      </c>
      <c r="M23" s="2">
        <f t="shared" si="2"/>
        <v>0</v>
      </c>
      <c r="N23" s="2">
        <f t="shared" si="2"/>
        <v>0</v>
      </c>
      <c r="P23" s="2" t="s">
        <v>16</v>
      </c>
    </row>
    <row r="24" spans="1:18" x14ac:dyDescent="0.25">
      <c r="A24" s="1">
        <f t="shared" si="1"/>
        <v>0</v>
      </c>
      <c r="B24" s="2">
        <f>IF(C24=0,0,A24&amp;" "&amp;COUNTIF($A$1:$A24,A24))</f>
        <v>0</v>
      </c>
      <c r="C24" s="1">
        <v>0</v>
      </c>
      <c r="D24" s="42" t="s">
        <v>18</v>
      </c>
      <c r="H24" s="2">
        <v>0</v>
      </c>
      <c r="I24" s="2">
        <v>0</v>
      </c>
      <c r="J24" s="2">
        <f t="shared" si="2"/>
        <v>0</v>
      </c>
      <c r="K24" s="2">
        <f t="shared" si="2"/>
        <v>0</v>
      </c>
      <c r="L24" s="2">
        <f t="shared" si="2"/>
        <v>0</v>
      </c>
      <c r="M24" s="2">
        <f t="shared" si="2"/>
        <v>0</v>
      </c>
      <c r="N24" s="2">
        <f t="shared" si="2"/>
        <v>0</v>
      </c>
      <c r="P24" s="2" t="s">
        <v>23</v>
      </c>
      <c r="Q24" s="2" t="e">
        <f t="shared" ref="Q24:Q32" si="3">VLOOKUP(P24,$B$2:$F$200,4,FALSE)</f>
        <v>#N/A</v>
      </c>
      <c r="R24" s="2" t="e">
        <f t="shared" ref="R24:R32" si="4">VLOOKUP(P24,$B$2:$F$200,5,FALSE)</f>
        <v>#N/A</v>
      </c>
    </row>
    <row r="25" spans="1:18" x14ac:dyDescent="0.25">
      <c r="A25" s="1">
        <f t="shared" si="1"/>
        <v>0</v>
      </c>
      <c r="B25" s="2">
        <f>IF(C25=0,0,A25&amp;" "&amp;COUNTIF($A$1:$A25,A25))</f>
        <v>0</v>
      </c>
      <c r="C25" s="1">
        <v>0</v>
      </c>
      <c r="D25" s="42" t="s">
        <v>18</v>
      </c>
      <c r="H25" s="2">
        <v>0</v>
      </c>
      <c r="I25" s="2">
        <v>0</v>
      </c>
      <c r="J25" s="2">
        <f t="shared" si="2"/>
        <v>0</v>
      </c>
      <c r="K25" s="2">
        <f t="shared" si="2"/>
        <v>0</v>
      </c>
      <c r="L25" s="2">
        <f t="shared" si="2"/>
        <v>0</v>
      </c>
      <c r="M25" s="2">
        <f t="shared" si="2"/>
        <v>0</v>
      </c>
      <c r="N25" s="2">
        <f t="shared" si="2"/>
        <v>0</v>
      </c>
      <c r="P25" s="2" t="s">
        <v>24</v>
      </c>
      <c r="Q25" s="2" t="e">
        <f t="shared" si="3"/>
        <v>#N/A</v>
      </c>
      <c r="R25" s="2" t="e">
        <f t="shared" si="4"/>
        <v>#N/A</v>
      </c>
    </row>
    <row r="26" spans="1:18" x14ac:dyDescent="0.25">
      <c r="A26" s="1">
        <f t="shared" si="1"/>
        <v>0</v>
      </c>
      <c r="B26" s="2">
        <f>IF(C26=0,0,A26&amp;" "&amp;COUNTIF($A$1:$A26,A26))</f>
        <v>0</v>
      </c>
      <c r="C26" s="1">
        <v>0</v>
      </c>
      <c r="D26" s="42" t="s">
        <v>18</v>
      </c>
      <c r="H26" s="2">
        <v>0</v>
      </c>
      <c r="I26" s="2">
        <v>0</v>
      </c>
      <c r="J26" s="2">
        <f t="shared" si="2"/>
        <v>0</v>
      </c>
      <c r="K26" s="2">
        <f t="shared" si="2"/>
        <v>0</v>
      </c>
      <c r="L26" s="2">
        <f t="shared" si="2"/>
        <v>0</v>
      </c>
      <c r="M26" s="2">
        <f t="shared" si="2"/>
        <v>0</v>
      </c>
      <c r="N26" s="2">
        <f t="shared" si="2"/>
        <v>0</v>
      </c>
      <c r="P26" s="2" t="s">
        <v>25</v>
      </c>
      <c r="Q26" s="2" t="e">
        <f t="shared" si="3"/>
        <v>#N/A</v>
      </c>
      <c r="R26" s="2" t="e">
        <f t="shared" si="4"/>
        <v>#N/A</v>
      </c>
    </row>
    <row r="27" spans="1:18" x14ac:dyDescent="0.25">
      <c r="A27" s="1">
        <f t="shared" si="1"/>
        <v>0</v>
      </c>
      <c r="B27" s="2">
        <f>IF(C27=0,0,A27&amp;" "&amp;COUNTIF($A$1:$A27,A27))</f>
        <v>0</v>
      </c>
      <c r="C27" s="1">
        <v>0</v>
      </c>
      <c r="D27" s="42" t="s">
        <v>18</v>
      </c>
      <c r="H27" s="2">
        <v>0</v>
      </c>
      <c r="I27" s="2">
        <v>0</v>
      </c>
      <c r="J27" s="2">
        <f t="shared" si="2"/>
        <v>0</v>
      </c>
      <c r="K27" s="2">
        <f t="shared" si="2"/>
        <v>0</v>
      </c>
      <c r="L27" s="2">
        <f t="shared" si="2"/>
        <v>0</v>
      </c>
      <c r="M27" s="2">
        <f t="shared" si="2"/>
        <v>0</v>
      </c>
      <c r="N27" s="2">
        <f t="shared" si="2"/>
        <v>0</v>
      </c>
      <c r="P27" s="2" t="s">
        <v>31</v>
      </c>
      <c r="Q27" s="2" t="e">
        <f t="shared" si="3"/>
        <v>#N/A</v>
      </c>
      <c r="R27" s="2" t="e">
        <f t="shared" si="4"/>
        <v>#N/A</v>
      </c>
    </row>
    <row r="28" spans="1:18" x14ac:dyDescent="0.25">
      <c r="A28" s="1">
        <f t="shared" si="1"/>
        <v>0</v>
      </c>
      <c r="B28" s="2">
        <f>IF(C28=0,0,A28&amp;" "&amp;COUNTIF($A$1:$A28,A28))</f>
        <v>0</v>
      </c>
      <c r="C28" s="1">
        <v>0</v>
      </c>
      <c r="D28" s="42" t="s">
        <v>18</v>
      </c>
      <c r="H28" s="2">
        <v>0</v>
      </c>
      <c r="I28" s="2">
        <v>0</v>
      </c>
      <c r="J28" s="2">
        <f t="shared" si="2"/>
        <v>0</v>
      </c>
      <c r="K28" s="2">
        <f t="shared" si="2"/>
        <v>0</v>
      </c>
      <c r="L28" s="2">
        <f t="shared" si="2"/>
        <v>0</v>
      </c>
      <c r="M28" s="2">
        <f t="shared" si="2"/>
        <v>0</v>
      </c>
      <c r="N28" s="2">
        <f t="shared" si="2"/>
        <v>0</v>
      </c>
      <c r="P28" s="2" t="s">
        <v>26</v>
      </c>
      <c r="Q28" s="2" t="e">
        <f t="shared" si="3"/>
        <v>#N/A</v>
      </c>
      <c r="R28" s="2" t="e">
        <f t="shared" si="4"/>
        <v>#N/A</v>
      </c>
    </row>
    <row r="29" spans="1:18" x14ac:dyDescent="0.25">
      <c r="A29" s="1">
        <f t="shared" si="1"/>
        <v>0</v>
      </c>
      <c r="B29" s="2">
        <f>IF(C29=0,0,A29&amp;" "&amp;COUNTIF($A$1:$A29,A29))</f>
        <v>0</v>
      </c>
      <c r="C29" s="1">
        <v>0</v>
      </c>
      <c r="D29" s="42" t="s">
        <v>18</v>
      </c>
      <c r="H29" s="2">
        <v>0</v>
      </c>
      <c r="I29" s="2">
        <v>0</v>
      </c>
      <c r="J29" s="2">
        <f t="shared" si="2"/>
        <v>0</v>
      </c>
      <c r="K29" s="2">
        <f t="shared" si="2"/>
        <v>0</v>
      </c>
      <c r="L29" s="2">
        <f t="shared" si="2"/>
        <v>0</v>
      </c>
      <c r="M29" s="2">
        <f t="shared" si="2"/>
        <v>0</v>
      </c>
      <c r="N29" s="2">
        <f t="shared" si="2"/>
        <v>0</v>
      </c>
      <c r="P29" s="2" t="s">
        <v>27</v>
      </c>
      <c r="Q29" s="2" t="e">
        <f t="shared" si="3"/>
        <v>#N/A</v>
      </c>
      <c r="R29" s="2" t="e">
        <f t="shared" si="4"/>
        <v>#N/A</v>
      </c>
    </row>
    <row r="30" spans="1:18" x14ac:dyDescent="0.25">
      <c r="A30" s="1">
        <f t="shared" si="1"/>
        <v>0</v>
      </c>
      <c r="B30" s="2">
        <f>IF(C30=0,0,A30&amp;" "&amp;COUNTIF($A$1:$A30,A30))</f>
        <v>0</v>
      </c>
      <c r="C30" s="1">
        <v>0</v>
      </c>
      <c r="D30" s="42" t="s">
        <v>18</v>
      </c>
      <c r="H30" s="2">
        <v>0</v>
      </c>
      <c r="I30" s="2">
        <v>0</v>
      </c>
      <c r="J30" s="2">
        <f t="shared" si="2"/>
        <v>0</v>
      </c>
      <c r="K30" s="2">
        <f t="shared" si="2"/>
        <v>0</v>
      </c>
      <c r="L30" s="2">
        <f t="shared" si="2"/>
        <v>0</v>
      </c>
      <c r="M30" s="2">
        <f t="shared" si="2"/>
        <v>0</v>
      </c>
      <c r="N30" s="2">
        <f t="shared" si="2"/>
        <v>0</v>
      </c>
      <c r="P30" s="2" t="s">
        <v>28</v>
      </c>
      <c r="Q30" s="2" t="e">
        <f t="shared" si="3"/>
        <v>#N/A</v>
      </c>
      <c r="R30" s="2" t="e">
        <f t="shared" si="4"/>
        <v>#N/A</v>
      </c>
    </row>
    <row r="31" spans="1:18" x14ac:dyDescent="0.25">
      <c r="A31" s="1">
        <f t="shared" si="1"/>
        <v>0</v>
      </c>
      <c r="B31" s="2">
        <f>IF(C31=0,0,A31&amp;" "&amp;COUNTIF($A$1:$A31,A31))</f>
        <v>0</v>
      </c>
      <c r="C31" s="1">
        <v>0</v>
      </c>
      <c r="D31" s="42" t="s">
        <v>18</v>
      </c>
      <c r="H31" s="2">
        <v>0</v>
      </c>
      <c r="I31" s="2">
        <v>0</v>
      </c>
      <c r="J31" s="2">
        <f t="shared" si="2"/>
        <v>0</v>
      </c>
      <c r="K31" s="2">
        <f t="shared" si="2"/>
        <v>0</v>
      </c>
      <c r="L31" s="2">
        <f t="shared" si="2"/>
        <v>0</v>
      </c>
      <c r="M31" s="2">
        <f t="shared" si="2"/>
        <v>0</v>
      </c>
      <c r="N31" s="2">
        <f t="shared" si="2"/>
        <v>0</v>
      </c>
      <c r="P31" s="2" t="s">
        <v>29</v>
      </c>
      <c r="Q31" s="2" t="e">
        <f t="shared" si="3"/>
        <v>#N/A</v>
      </c>
      <c r="R31" s="2" t="e">
        <f t="shared" si="4"/>
        <v>#N/A</v>
      </c>
    </row>
    <row r="32" spans="1:18" x14ac:dyDescent="0.25">
      <c r="A32" s="1">
        <f t="shared" si="1"/>
        <v>0</v>
      </c>
      <c r="B32" s="2">
        <f>IF(C32=0,0,A32&amp;" "&amp;COUNTIF($A$1:$A32,A32))</f>
        <v>0</v>
      </c>
      <c r="C32" s="1">
        <v>0</v>
      </c>
      <c r="H32" s="2">
        <v>0</v>
      </c>
      <c r="I32" s="2">
        <v>0</v>
      </c>
      <c r="J32" s="2">
        <f t="shared" si="2"/>
        <v>0</v>
      </c>
      <c r="K32" s="2">
        <f t="shared" si="2"/>
        <v>0</v>
      </c>
      <c r="L32" s="2">
        <f t="shared" si="2"/>
        <v>0</v>
      </c>
      <c r="M32" s="2">
        <f t="shared" si="2"/>
        <v>0</v>
      </c>
      <c r="N32" s="2">
        <f t="shared" si="2"/>
        <v>0</v>
      </c>
      <c r="P32" s="2" t="s">
        <v>30</v>
      </c>
      <c r="Q32" s="2" t="e">
        <f t="shared" si="3"/>
        <v>#N/A</v>
      </c>
      <c r="R32" s="2" t="e">
        <f t="shared" si="4"/>
        <v>#N/A</v>
      </c>
    </row>
    <row r="33" spans="1:14" x14ac:dyDescent="0.25">
      <c r="A33" s="1">
        <f t="shared" si="1"/>
        <v>0</v>
      </c>
      <c r="B33" s="2">
        <f>IF(C33=0,0,A33&amp;" "&amp;COUNTIF($A$1:$A33,A33))</f>
        <v>0</v>
      </c>
      <c r="C33" s="1">
        <v>0</v>
      </c>
      <c r="H33" s="2">
        <v>0</v>
      </c>
      <c r="I33" s="2">
        <v>0</v>
      </c>
      <c r="J33" s="2">
        <f t="shared" si="2"/>
        <v>0</v>
      </c>
      <c r="K33" s="2">
        <f t="shared" si="2"/>
        <v>0</v>
      </c>
      <c r="L33" s="2">
        <f t="shared" si="2"/>
        <v>0</v>
      </c>
      <c r="M33" s="2">
        <f t="shared" si="2"/>
        <v>0</v>
      </c>
      <c r="N33" s="2">
        <f t="shared" si="2"/>
        <v>0</v>
      </c>
    </row>
    <row r="34" spans="1:14" x14ac:dyDescent="0.25">
      <c r="A34" s="1">
        <f t="shared" si="1"/>
        <v>0</v>
      </c>
      <c r="B34" s="2">
        <f>IF(C34=0,0,A34&amp;" "&amp;COUNTIF($A$1:$A34,A34))</f>
        <v>0</v>
      </c>
      <c r="C34" s="1">
        <v>0</v>
      </c>
      <c r="H34" s="2">
        <v>0</v>
      </c>
      <c r="I34" s="2">
        <v>0</v>
      </c>
      <c r="J34" s="2">
        <f t="shared" si="2"/>
        <v>0</v>
      </c>
      <c r="K34" s="2">
        <f t="shared" si="2"/>
        <v>0</v>
      </c>
      <c r="L34" s="2">
        <f t="shared" si="2"/>
        <v>0</v>
      </c>
      <c r="M34" s="2">
        <f t="shared" si="2"/>
        <v>0</v>
      </c>
      <c r="N34" s="2">
        <f t="shared" si="2"/>
        <v>0</v>
      </c>
    </row>
    <row r="35" spans="1:14" x14ac:dyDescent="0.25">
      <c r="A35" s="1">
        <f t="shared" si="1"/>
        <v>0</v>
      </c>
      <c r="B35" s="2">
        <f>IF(C35=0,0,A35&amp;" "&amp;COUNTIF($A$1:$A35,A35))</f>
        <v>0</v>
      </c>
      <c r="C35" s="1">
        <v>0</v>
      </c>
      <c r="H35" s="2">
        <v>0</v>
      </c>
      <c r="I35" s="2">
        <v>0</v>
      </c>
      <c r="J35" s="2">
        <f t="shared" si="2"/>
        <v>0</v>
      </c>
      <c r="K35" s="2">
        <f t="shared" si="2"/>
        <v>0</v>
      </c>
      <c r="L35" s="2">
        <f t="shared" si="2"/>
        <v>0</v>
      </c>
      <c r="M35" s="2">
        <f t="shared" si="2"/>
        <v>0</v>
      </c>
      <c r="N35" s="2">
        <f t="shared" si="2"/>
        <v>0</v>
      </c>
    </row>
    <row r="36" spans="1:14" x14ac:dyDescent="0.25">
      <c r="A36" s="1">
        <f t="shared" si="1"/>
        <v>0</v>
      </c>
      <c r="B36" s="2">
        <f>IF(C36=0,0,A36&amp;" "&amp;COUNTIF($A$1:$A36,A36))</f>
        <v>0</v>
      </c>
      <c r="C36" s="1">
        <v>0</v>
      </c>
      <c r="H36" s="2">
        <v>0</v>
      </c>
      <c r="I36" s="2">
        <v>0</v>
      </c>
      <c r="J36" s="2">
        <f t="shared" si="2"/>
        <v>0</v>
      </c>
      <c r="K36" s="2">
        <f t="shared" si="2"/>
        <v>0</v>
      </c>
      <c r="L36" s="2">
        <f t="shared" si="2"/>
        <v>0</v>
      </c>
      <c r="M36" s="2">
        <f t="shared" si="2"/>
        <v>0</v>
      </c>
      <c r="N36" s="2">
        <f t="shared" si="2"/>
        <v>0</v>
      </c>
    </row>
    <row r="37" spans="1:14" x14ac:dyDescent="0.25">
      <c r="A37" s="1">
        <f t="shared" si="1"/>
        <v>0</v>
      </c>
      <c r="B37" s="2">
        <f>IF(C37=0,0,A37&amp;" "&amp;COUNTIF($A$1:$A37,A37))</f>
        <v>0</v>
      </c>
      <c r="C37" s="1">
        <v>0</v>
      </c>
      <c r="H37" s="2">
        <v>0</v>
      </c>
      <c r="I37" s="2">
        <v>0</v>
      </c>
      <c r="J37" s="2">
        <f t="shared" si="2"/>
        <v>0</v>
      </c>
      <c r="K37" s="2">
        <f t="shared" si="2"/>
        <v>0</v>
      </c>
      <c r="L37" s="2">
        <f t="shared" si="2"/>
        <v>0</v>
      </c>
      <c r="M37" s="2">
        <f t="shared" si="2"/>
        <v>0</v>
      </c>
      <c r="N37" s="2">
        <f t="shared" si="2"/>
        <v>0</v>
      </c>
    </row>
    <row r="38" spans="1:14" x14ac:dyDescent="0.25">
      <c r="A38" s="1">
        <f t="shared" si="1"/>
        <v>0</v>
      </c>
      <c r="B38" s="2">
        <f>IF(C38=0,0,A38&amp;" "&amp;COUNTIF($A$1:$A38,A38))</f>
        <v>0</v>
      </c>
      <c r="C38" s="1">
        <v>0</v>
      </c>
      <c r="H38" s="2">
        <v>0</v>
      </c>
      <c r="I38" s="2">
        <v>0</v>
      </c>
      <c r="J38" s="2">
        <f t="shared" si="2"/>
        <v>0</v>
      </c>
      <c r="K38" s="2">
        <f t="shared" si="2"/>
        <v>0</v>
      </c>
      <c r="L38" s="2">
        <f t="shared" si="2"/>
        <v>0</v>
      </c>
      <c r="M38" s="2">
        <f t="shared" si="2"/>
        <v>0</v>
      </c>
      <c r="N38" s="2">
        <f t="shared" si="2"/>
        <v>0</v>
      </c>
    </row>
    <row r="39" spans="1:14" x14ac:dyDescent="0.25">
      <c r="A39" s="1">
        <f t="shared" si="1"/>
        <v>0</v>
      </c>
      <c r="B39" s="2">
        <f>IF(C39=0,0,A39&amp;" "&amp;COUNTIF($A$1:$A39,A39))</f>
        <v>0</v>
      </c>
      <c r="C39" s="1">
        <v>0</v>
      </c>
      <c r="H39" s="2">
        <v>0</v>
      </c>
      <c r="I39" s="2">
        <v>0</v>
      </c>
      <c r="J39" s="2">
        <f t="shared" si="2"/>
        <v>0</v>
      </c>
      <c r="K39" s="2">
        <f t="shared" ref="H39:N75" si="5">IF($D39=K$1,$C39*1,0)</f>
        <v>0</v>
      </c>
      <c r="L39" s="2">
        <f t="shared" si="5"/>
        <v>0</v>
      </c>
      <c r="M39" s="2">
        <f t="shared" si="5"/>
        <v>0</v>
      </c>
      <c r="N39" s="2">
        <f t="shared" si="5"/>
        <v>0</v>
      </c>
    </row>
    <row r="40" spans="1:14" x14ac:dyDescent="0.25">
      <c r="A40" s="1">
        <f t="shared" si="1"/>
        <v>0</v>
      </c>
      <c r="B40" s="2">
        <f>IF(C40=0,0,A40&amp;" "&amp;COUNTIF($A$1:$A40,A40))</f>
        <v>0</v>
      </c>
      <c r="C40" s="1">
        <v>0</v>
      </c>
      <c r="H40" s="2">
        <v>0</v>
      </c>
      <c r="I40" s="2">
        <v>0</v>
      </c>
      <c r="J40" s="2">
        <f t="shared" si="5"/>
        <v>0</v>
      </c>
      <c r="K40" s="2">
        <f t="shared" si="5"/>
        <v>0</v>
      </c>
      <c r="L40" s="2">
        <f t="shared" si="5"/>
        <v>0</v>
      </c>
      <c r="M40" s="2">
        <f t="shared" si="5"/>
        <v>0</v>
      </c>
      <c r="N40" s="2">
        <f t="shared" si="5"/>
        <v>0</v>
      </c>
    </row>
    <row r="41" spans="1:14" x14ac:dyDescent="0.25">
      <c r="A41" s="1">
        <f t="shared" si="1"/>
        <v>0</v>
      </c>
      <c r="B41" s="2">
        <f>IF(C41=0,0,A41&amp;" "&amp;COUNTIF($A$1:$A41,A41))</f>
        <v>0</v>
      </c>
      <c r="C41" s="1">
        <v>0</v>
      </c>
      <c r="H41" s="2">
        <f t="shared" si="5"/>
        <v>0</v>
      </c>
      <c r="I41" s="2">
        <f t="shared" si="5"/>
        <v>0</v>
      </c>
      <c r="J41" s="2">
        <f t="shared" si="5"/>
        <v>0</v>
      </c>
      <c r="K41" s="2">
        <f t="shared" si="5"/>
        <v>0</v>
      </c>
      <c r="L41" s="2">
        <f t="shared" si="5"/>
        <v>0</v>
      </c>
      <c r="M41" s="2">
        <f t="shared" si="5"/>
        <v>0</v>
      </c>
      <c r="N41" s="2">
        <f t="shared" si="5"/>
        <v>0</v>
      </c>
    </row>
    <row r="42" spans="1:14" x14ac:dyDescent="0.25">
      <c r="A42" s="1">
        <f t="shared" si="1"/>
        <v>0</v>
      </c>
      <c r="B42" s="2">
        <f>IF(C42=0,0,A42&amp;" "&amp;COUNTIF($A$1:$A42,A42))</f>
        <v>0</v>
      </c>
      <c r="C42" s="1">
        <v>0</v>
      </c>
      <c r="H42" s="2">
        <f t="shared" si="5"/>
        <v>0</v>
      </c>
      <c r="I42" s="2">
        <f t="shared" si="5"/>
        <v>0</v>
      </c>
      <c r="J42" s="2">
        <f t="shared" si="5"/>
        <v>0</v>
      </c>
      <c r="K42" s="2">
        <f t="shared" si="5"/>
        <v>0</v>
      </c>
      <c r="L42" s="2">
        <f t="shared" si="5"/>
        <v>0</v>
      </c>
      <c r="M42" s="2">
        <f t="shared" si="5"/>
        <v>0</v>
      </c>
      <c r="N42" s="2">
        <f t="shared" si="5"/>
        <v>0</v>
      </c>
    </row>
    <row r="43" spans="1:14" x14ac:dyDescent="0.25">
      <c r="A43" s="1">
        <f t="shared" si="1"/>
        <v>0</v>
      </c>
      <c r="B43" s="2">
        <f>IF(C43=0,0,A43&amp;" "&amp;COUNTIF($A$1:$A43,A43))</f>
        <v>0</v>
      </c>
      <c r="C43" s="1">
        <v>0</v>
      </c>
      <c r="H43" s="2">
        <f t="shared" si="5"/>
        <v>0</v>
      </c>
      <c r="I43" s="2">
        <f t="shared" si="5"/>
        <v>0</v>
      </c>
      <c r="J43" s="2">
        <f t="shared" si="5"/>
        <v>0</v>
      </c>
      <c r="K43" s="2">
        <f t="shared" si="5"/>
        <v>0</v>
      </c>
      <c r="L43" s="2">
        <f t="shared" si="5"/>
        <v>0</v>
      </c>
      <c r="M43" s="2">
        <f t="shared" si="5"/>
        <v>0</v>
      </c>
      <c r="N43" s="2">
        <f t="shared" si="5"/>
        <v>0</v>
      </c>
    </row>
    <row r="44" spans="1:14" x14ac:dyDescent="0.25">
      <c r="A44" s="1">
        <f t="shared" si="1"/>
        <v>0</v>
      </c>
      <c r="B44" s="2">
        <f>IF(C44=0,0,A44&amp;" "&amp;COUNTIF($A$1:$A44,A44))</f>
        <v>0</v>
      </c>
      <c r="C44" s="1">
        <v>0</v>
      </c>
      <c r="H44" s="2">
        <f t="shared" si="5"/>
        <v>0</v>
      </c>
      <c r="I44" s="2">
        <f t="shared" si="5"/>
        <v>0</v>
      </c>
      <c r="J44" s="2">
        <f t="shared" si="5"/>
        <v>0</v>
      </c>
      <c r="K44" s="2">
        <f t="shared" si="5"/>
        <v>0</v>
      </c>
      <c r="L44" s="2">
        <f t="shared" si="5"/>
        <v>0</v>
      </c>
      <c r="M44" s="2">
        <f t="shared" si="5"/>
        <v>0</v>
      </c>
      <c r="N44" s="2">
        <f t="shared" si="5"/>
        <v>0</v>
      </c>
    </row>
    <row r="45" spans="1:14" x14ac:dyDescent="0.25">
      <c r="A45" s="1">
        <f t="shared" si="1"/>
        <v>0</v>
      </c>
      <c r="B45" s="2">
        <f>IF(C45=0,0,A45&amp;" "&amp;COUNTIF($A$1:$A45,A45))</f>
        <v>0</v>
      </c>
      <c r="C45" s="1">
        <v>0</v>
      </c>
      <c r="H45" s="2">
        <f t="shared" si="5"/>
        <v>0</v>
      </c>
      <c r="I45" s="2">
        <f t="shared" si="5"/>
        <v>0</v>
      </c>
      <c r="J45" s="2">
        <f t="shared" si="5"/>
        <v>0</v>
      </c>
      <c r="K45" s="2">
        <f t="shared" si="5"/>
        <v>0</v>
      </c>
      <c r="L45" s="2">
        <f t="shared" si="5"/>
        <v>0</v>
      </c>
      <c r="M45" s="2">
        <f t="shared" si="5"/>
        <v>0</v>
      </c>
      <c r="N45" s="2">
        <f t="shared" si="5"/>
        <v>0</v>
      </c>
    </row>
    <row r="46" spans="1:14" x14ac:dyDescent="0.25">
      <c r="A46" s="1">
        <f t="shared" si="1"/>
        <v>0</v>
      </c>
      <c r="B46" s="2">
        <f>IF(C46=0,0,A46&amp;" "&amp;COUNTIF($A$1:$A46,A46))</f>
        <v>0</v>
      </c>
      <c r="C46" s="1">
        <v>0</v>
      </c>
      <c r="H46" s="2">
        <f t="shared" si="5"/>
        <v>0</v>
      </c>
      <c r="I46" s="2">
        <f t="shared" si="5"/>
        <v>0</v>
      </c>
      <c r="J46" s="2">
        <f t="shared" si="5"/>
        <v>0</v>
      </c>
      <c r="K46" s="2">
        <f t="shared" si="5"/>
        <v>0</v>
      </c>
      <c r="L46" s="2">
        <f t="shared" si="5"/>
        <v>0</v>
      </c>
      <c r="M46" s="2">
        <f t="shared" si="5"/>
        <v>0</v>
      </c>
      <c r="N46" s="2">
        <f t="shared" si="5"/>
        <v>0</v>
      </c>
    </row>
    <row r="47" spans="1:14" x14ac:dyDescent="0.25">
      <c r="A47" s="1">
        <f t="shared" si="1"/>
        <v>0</v>
      </c>
      <c r="B47" s="2">
        <f>IF(C47=0,0,A47&amp;" "&amp;COUNTIF($A$1:$A47,A47))</f>
        <v>0</v>
      </c>
      <c r="C47" s="1">
        <v>0</v>
      </c>
      <c r="H47" s="2">
        <f t="shared" si="5"/>
        <v>0</v>
      </c>
      <c r="I47" s="2">
        <f t="shared" si="5"/>
        <v>0</v>
      </c>
      <c r="J47" s="2">
        <f t="shared" si="5"/>
        <v>0</v>
      </c>
      <c r="K47" s="2">
        <f t="shared" si="5"/>
        <v>0</v>
      </c>
      <c r="L47" s="2">
        <f t="shared" si="5"/>
        <v>0</v>
      </c>
      <c r="M47" s="2">
        <f t="shared" si="5"/>
        <v>0</v>
      </c>
      <c r="N47" s="2">
        <f t="shared" si="5"/>
        <v>0</v>
      </c>
    </row>
    <row r="48" spans="1:14" x14ac:dyDescent="0.25">
      <c r="A48" s="1">
        <f t="shared" si="1"/>
        <v>0</v>
      </c>
      <c r="B48" s="2">
        <f>IF(C48=0,0,A48&amp;" "&amp;COUNTIF($A$1:$A48,A48))</f>
        <v>0</v>
      </c>
      <c r="C48" s="1">
        <v>0</v>
      </c>
      <c r="H48" s="2">
        <f t="shared" si="5"/>
        <v>0</v>
      </c>
      <c r="I48" s="2">
        <f t="shared" si="5"/>
        <v>0</v>
      </c>
      <c r="J48" s="2">
        <f t="shared" si="5"/>
        <v>0</v>
      </c>
      <c r="K48" s="2">
        <f t="shared" si="5"/>
        <v>0</v>
      </c>
      <c r="L48" s="2">
        <f t="shared" si="5"/>
        <v>0</v>
      </c>
      <c r="M48" s="2">
        <f t="shared" si="5"/>
        <v>0</v>
      </c>
      <c r="N48" s="2">
        <f t="shared" si="5"/>
        <v>0</v>
      </c>
    </row>
    <row r="49" spans="1:14" x14ac:dyDescent="0.25">
      <c r="A49" s="1">
        <f t="shared" si="1"/>
        <v>0</v>
      </c>
      <c r="B49" s="2">
        <f>IF(C49=0,0,A49&amp;" "&amp;COUNTIF($A$1:$A49,A49))</f>
        <v>0</v>
      </c>
      <c r="C49" s="1">
        <v>0</v>
      </c>
      <c r="H49" s="2">
        <f t="shared" si="5"/>
        <v>0</v>
      </c>
      <c r="I49" s="2">
        <f t="shared" si="5"/>
        <v>0</v>
      </c>
      <c r="J49" s="2">
        <f t="shared" si="5"/>
        <v>0</v>
      </c>
      <c r="K49" s="2">
        <f t="shared" si="5"/>
        <v>0</v>
      </c>
      <c r="L49" s="2">
        <f t="shared" si="5"/>
        <v>0</v>
      </c>
      <c r="M49" s="2">
        <f t="shared" si="5"/>
        <v>0</v>
      </c>
      <c r="N49" s="2">
        <f t="shared" si="5"/>
        <v>0</v>
      </c>
    </row>
    <row r="50" spans="1:14" x14ac:dyDescent="0.25">
      <c r="A50" s="1">
        <f t="shared" si="1"/>
        <v>0</v>
      </c>
      <c r="B50" s="2">
        <f>IF(C50=0,0,A50&amp;" "&amp;COUNTIF($A$1:$A50,A50))</f>
        <v>0</v>
      </c>
      <c r="C50" s="1">
        <v>0</v>
      </c>
      <c r="H50" s="2">
        <f t="shared" si="5"/>
        <v>0</v>
      </c>
      <c r="I50" s="2">
        <f t="shared" si="5"/>
        <v>0</v>
      </c>
      <c r="J50" s="2">
        <f t="shared" si="5"/>
        <v>0</v>
      </c>
      <c r="K50" s="2">
        <f t="shared" si="5"/>
        <v>0</v>
      </c>
      <c r="L50" s="2">
        <f t="shared" si="5"/>
        <v>0</v>
      </c>
      <c r="M50" s="2">
        <f t="shared" si="5"/>
        <v>0</v>
      </c>
      <c r="N50" s="2">
        <f t="shared" si="5"/>
        <v>0</v>
      </c>
    </row>
    <row r="51" spans="1:14" x14ac:dyDescent="0.25">
      <c r="A51" s="1">
        <f t="shared" si="1"/>
        <v>0</v>
      </c>
      <c r="B51" s="2">
        <f>IF(C51=0,0,A51&amp;" "&amp;COUNTIF($A$1:$A51,A51))</f>
        <v>0</v>
      </c>
      <c r="C51" s="1">
        <v>0</v>
      </c>
      <c r="H51" s="2">
        <f t="shared" si="5"/>
        <v>0</v>
      </c>
      <c r="I51" s="2">
        <f t="shared" si="5"/>
        <v>0</v>
      </c>
      <c r="J51" s="2">
        <f t="shared" si="5"/>
        <v>0</v>
      </c>
      <c r="K51" s="2">
        <f t="shared" si="5"/>
        <v>0</v>
      </c>
      <c r="L51" s="2">
        <f t="shared" si="5"/>
        <v>0</v>
      </c>
      <c r="M51" s="2">
        <f t="shared" si="5"/>
        <v>0</v>
      </c>
      <c r="N51" s="2">
        <f t="shared" si="5"/>
        <v>0</v>
      </c>
    </row>
    <row r="52" spans="1:14" x14ac:dyDescent="0.25">
      <c r="A52" s="1">
        <f t="shared" si="1"/>
        <v>0</v>
      </c>
      <c r="B52" s="2">
        <f>IF(C52=0,0,A52&amp;" "&amp;COUNTIF($A$1:$A52,A52))</f>
        <v>0</v>
      </c>
      <c r="C52" s="1">
        <v>0</v>
      </c>
      <c r="H52" s="2">
        <f t="shared" si="5"/>
        <v>0</v>
      </c>
      <c r="I52" s="2">
        <f t="shared" si="5"/>
        <v>0</v>
      </c>
      <c r="J52" s="2">
        <f t="shared" si="5"/>
        <v>0</v>
      </c>
      <c r="K52" s="2">
        <f t="shared" si="5"/>
        <v>0</v>
      </c>
      <c r="L52" s="2">
        <f t="shared" si="5"/>
        <v>0</v>
      </c>
      <c r="M52" s="2">
        <f t="shared" si="5"/>
        <v>0</v>
      </c>
      <c r="N52" s="2">
        <f t="shared" si="5"/>
        <v>0</v>
      </c>
    </row>
    <row r="53" spans="1:14" x14ac:dyDescent="0.25">
      <c r="A53" s="1">
        <f t="shared" si="1"/>
        <v>0</v>
      </c>
      <c r="B53" s="2">
        <f>IF(C53=0,0,A53&amp;" "&amp;COUNTIF($A$1:$A53,A53))</f>
        <v>0</v>
      </c>
      <c r="C53" s="1">
        <v>0</v>
      </c>
      <c r="H53" s="2">
        <f t="shared" si="5"/>
        <v>0</v>
      </c>
      <c r="I53" s="2">
        <f t="shared" si="5"/>
        <v>0</v>
      </c>
      <c r="J53" s="2">
        <f t="shared" si="5"/>
        <v>0</v>
      </c>
      <c r="K53" s="2">
        <f t="shared" si="5"/>
        <v>0</v>
      </c>
      <c r="L53" s="2">
        <f t="shared" si="5"/>
        <v>0</v>
      </c>
      <c r="M53" s="2">
        <f t="shared" si="5"/>
        <v>0</v>
      </c>
      <c r="N53" s="2">
        <f t="shared" si="5"/>
        <v>0</v>
      </c>
    </row>
    <row r="54" spans="1:14" x14ac:dyDescent="0.25">
      <c r="A54" s="1">
        <f t="shared" si="1"/>
        <v>0</v>
      </c>
      <c r="B54" s="2">
        <f>IF(C54=0,0,A54&amp;" "&amp;COUNTIF($A$1:$A54,A54))</f>
        <v>0</v>
      </c>
      <c r="C54" s="1">
        <v>0</v>
      </c>
      <c r="H54" s="2">
        <f t="shared" si="5"/>
        <v>0</v>
      </c>
      <c r="I54" s="2">
        <f t="shared" si="5"/>
        <v>0</v>
      </c>
      <c r="J54" s="2">
        <f t="shared" si="5"/>
        <v>0</v>
      </c>
      <c r="K54" s="2">
        <f t="shared" si="5"/>
        <v>0</v>
      </c>
      <c r="L54" s="2">
        <f t="shared" si="5"/>
        <v>0</v>
      </c>
      <c r="M54" s="2">
        <f t="shared" si="5"/>
        <v>0</v>
      </c>
      <c r="N54" s="2">
        <f t="shared" si="5"/>
        <v>0</v>
      </c>
    </row>
    <row r="55" spans="1:14" x14ac:dyDescent="0.25">
      <c r="A55" s="1">
        <f t="shared" si="1"/>
        <v>0</v>
      </c>
      <c r="B55" s="2">
        <f>IF(C55=0,0,A55&amp;" "&amp;COUNTIF($A$1:$A55,A55))</f>
        <v>0</v>
      </c>
      <c r="C55" s="1">
        <v>0</v>
      </c>
      <c r="H55" s="2">
        <f t="shared" si="5"/>
        <v>0</v>
      </c>
      <c r="I55" s="2">
        <f t="shared" si="5"/>
        <v>0</v>
      </c>
      <c r="J55" s="2">
        <f t="shared" si="5"/>
        <v>0</v>
      </c>
      <c r="K55" s="2">
        <f t="shared" si="5"/>
        <v>0</v>
      </c>
      <c r="L55" s="2">
        <f t="shared" si="5"/>
        <v>0</v>
      </c>
      <c r="M55" s="2">
        <f t="shared" si="5"/>
        <v>0</v>
      </c>
      <c r="N55" s="2">
        <f t="shared" si="5"/>
        <v>0</v>
      </c>
    </row>
    <row r="56" spans="1:14" x14ac:dyDescent="0.25">
      <c r="A56" s="1">
        <f t="shared" si="1"/>
        <v>0</v>
      </c>
      <c r="B56" s="2">
        <f>IF(C56=0,0,A56&amp;" "&amp;COUNTIF($A$1:$A56,A56))</f>
        <v>0</v>
      </c>
      <c r="C56" s="1">
        <v>0</v>
      </c>
      <c r="H56" s="2">
        <f t="shared" si="5"/>
        <v>0</v>
      </c>
      <c r="I56" s="2">
        <f t="shared" si="5"/>
        <v>0</v>
      </c>
      <c r="J56" s="2">
        <f t="shared" si="5"/>
        <v>0</v>
      </c>
      <c r="K56" s="2">
        <f t="shared" si="5"/>
        <v>0</v>
      </c>
      <c r="L56" s="2">
        <f t="shared" si="5"/>
        <v>0</v>
      </c>
      <c r="M56" s="2">
        <f t="shared" si="5"/>
        <v>0</v>
      </c>
      <c r="N56" s="2">
        <f t="shared" si="5"/>
        <v>0</v>
      </c>
    </row>
    <row r="57" spans="1:14" x14ac:dyDescent="0.25">
      <c r="A57" s="1">
        <f t="shared" si="1"/>
        <v>0</v>
      </c>
      <c r="B57" s="2">
        <f>IF(C57=0,0,A57&amp;" "&amp;COUNTIF($A$1:$A57,A57))</f>
        <v>0</v>
      </c>
      <c r="C57" s="1">
        <v>0</v>
      </c>
      <c r="H57" s="2">
        <f t="shared" si="5"/>
        <v>0</v>
      </c>
      <c r="I57" s="2">
        <f t="shared" si="5"/>
        <v>0</v>
      </c>
      <c r="J57" s="2">
        <f t="shared" si="5"/>
        <v>0</v>
      </c>
      <c r="K57" s="2">
        <f t="shared" si="5"/>
        <v>0</v>
      </c>
      <c r="L57" s="2">
        <f t="shared" si="5"/>
        <v>0</v>
      </c>
      <c r="M57" s="2">
        <f t="shared" si="5"/>
        <v>0</v>
      </c>
      <c r="N57" s="2">
        <f t="shared" si="5"/>
        <v>0</v>
      </c>
    </row>
    <row r="58" spans="1:14" x14ac:dyDescent="0.25">
      <c r="A58" s="1">
        <f t="shared" si="1"/>
        <v>0</v>
      </c>
      <c r="B58" s="2">
        <f>IF(C58=0,0,A58&amp;" "&amp;COUNTIF($A$1:$A58,A58))</f>
        <v>0</v>
      </c>
      <c r="C58" s="1">
        <v>0</v>
      </c>
      <c r="H58" s="2">
        <f t="shared" si="5"/>
        <v>0</v>
      </c>
      <c r="I58" s="2">
        <f t="shared" si="5"/>
        <v>0</v>
      </c>
      <c r="J58" s="2">
        <f t="shared" si="5"/>
        <v>0</v>
      </c>
      <c r="K58" s="2">
        <f t="shared" si="5"/>
        <v>0</v>
      </c>
      <c r="L58" s="2">
        <f t="shared" si="5"/>
        <v>0</v>
      </c>
      <c r="M58" s="2">
        <f t="shared" si="5"/>
        <v>0</v>
      </c>
      <c r="N58" s="2">
        <f t="shared" si="5"/>
        <v>0</v>
      </c>
    </row>
    <row r="59" spans="1:14" x14ac:dyDescent="0.25">
      <c r="A59" s="1">
        <f t="shared" si="1"/>
        <v>0</v>
      </c>
      <c r="B59" s="2">
        <f>IF(C59=0,0,A59&amp;" "&amp;COUNTIF($A$1:$A59,A59))</f>
        <v>0</v>
      </c>
      <c r="C59" s="1">
        <v>0</v>
      </c>
      <c r="H59" s="2">
        <f t="shared" si="5"/>
        <v>0</v>
      </c>
      <c r="I59" s="2">
        <f t="shared" si="5"/>
        <v>0</v>
      </c>
      <c r="J59" s="2">
        <f t="shared" si="5"/>
        <v>0</v>
      </c>
      <c r="K59" s="2">
        <f t="shared" si="5"/>
        <v>0</v>
      </c>
      <c r="L59" s="2">
        <f t="shared" si="5"/>
        <v>0</v>
      </c>
      <c r="M59" s="2">
        <f t="shared" si="5"/>
        <v>0</v>
      </c>
      <c r="N59" s="2">
        <f t="shared" si="5"/>
        <v>0</v>
      </c>
    </row>
    <row r="60" spans="1:14" x14ac:dyDescent="0.25">
      <c r="A60" s="1">
        <f t="shared" si="1"/>
        <v>0</v>
      </c>
      <c r="B60" s="2">
        <f>IF(C60=0,0,A60&amp;" "&amp;COUNTIF($A$1:$A60,A60))</f>
        <v>0</v>
      </c>
      <c r="C60" s="1">
        <v>0</v>
      </c>
      <c r="H60" s="2">
        <f t="shared" si="5"/>
        <v>0</v>
      </c>
      <c r="I60" s="2">
        <f t="shared" si="5"/>
        <v>0</v>
      </c>
      <c r="J60" s="2">
        <f t="shared" si="5"/>
        <v>0</v>
      </c>
      <c r="K60" s="2">
        <f t="shared" si="5"/>
        <v>0</v>
      </c>
      <c r="L60" s="2">
        <f t="shared" si="5"/>
        <v>0</v>
      </c>
      <c r="M60" s="2">
        <f t="shared" si="5"/>
        <v>0</v>
      </c>
      <c r="N60" s="2">
        <f t="shared" si="5"/>
        <v>0</v>
      </c>
    </row>
    <row r="61" spans="1:14" x14ac:dyDescent="0.25">
      <c r="A61" s="1">
        <f t="shared" si="1"/>
        <v>0</v>
      </c>
      <c r="B61" s="2">
        <f>IF(C61=0,0,A61&amp;" "&amp;COUNTIF($A$1:$A61,A61))</f>
        <v>0</v>
      </c>
      <c r="C61" s="1">
        <v>0</v>
      </c>
      <c r="H61" s="2">
        <f t="shared" si="5"/>
        <v>0</v>
      </c>
      <c r="I61" s="2">
        <f t="shared" si="5"/>
        <v>0</v>
      </c>
      <c r="J61" s="2">
        <f t="shared" si="5"/>
        <v>0</v>
      </c>
      <c r="K61" s="2">
        <f t="shared" si="5"/>
        <v>0</v>
      </c>
      <c r="L61" s="2">
        <f t="shared" si="5"/>
        <v>0</v>
      </c>
      <c r="M61" s="2">
        <f t="shared" si="5"/>
        <v>0</v>
      </c>
      <c r="N61" s="2">
        <f t="shared" si="5"/>
        <v>0</v>
      </c>
    </row>
    <row r="62" spans="1:14" x14ac:dyDescent="0.25">
      <c r="A62" s="1">
        <f t="shared" si="1"/>
        <v>0</v>
      </c>
      <c r="B62" s="2">
        <f>IF(C62=0,0,A62&amp;" "&amp;COUNTIF($A$1:$A62,A62))</f>
        <v>0</v>
      </c>
      <c r="C62" s="1">
        <v>0</v>
      </c>
      <c r="H62" s="2">
        <f t="shared" si="5"/>
        <v>0</v>
      </c>
      <c r="I62" s="2">
        <f t="shared" si="5"/>
        <v>0</v>
      </c>
      <c r="J62" s="2">
        <f t="shared" si="5"/>
        <v>0</v>
      </c>
      <c r="K62" s="2">
        <f t="shared" si="5"/>
        <v>0</v>
      </c>
      <c r="L62" s="2">
        <f t="shared" si="5"/>
        <v>0</v>
      </c>
      <c r="M62" s="2">
        <f t="shared" si="5"/>
        <v>0</v>
      </c>
      <c r="N62" s="2">
        <f t="shared" si="5"/>
        <v>0</v>
      </c>
    </row>
    <row r="63" spans="1:14" x14ac:dyDescent="0.25">
      <c r="A63" s="1">
        <f t="shared" si="1"/>
        <v>0</v>
      </c>
      <c r="B63" s="2">
        <f>IF(C63=0,0,A63&amp;" "&amp;COUNTIF($A$1:$A63,A63))</f>
        <v>0</v>
      </c>
      <c r="C63" s="1">
        <v>0</v>
      </c>
      <c r="H63" s="2">
        <f t="shared" si="5"/>
        <v>0</v>
      </c>
      <c r="I63" s="2">
        <f t="shared" si="5"/>
        <v>0</v>
      </c>
      <c r="J63" s="2">
        <f t="shared" si="5"/>
        <v>0</v>
      </c>
      <c r="K63" s="2">
        <f t="shared" si="5"/>
        <v>0</v>
      </c>
      <c r="L63" s="2">
        <f t="shared" si="5"/>
        <v>0</v>
      </c>
      <c r="M63" s="2">
        <f t="shared" si="5"/>
        <v>0</v>
      </c>
      <c r="N63" s="2">
        <f t="shared" si="5"/>
        <v>0</v>
      </c>
    </row>
    <row r="64" spans="1:14" x14ac:dyDescent="0.25">
      <c r="A64" s="1">
        <f t="shared" si="1"/>
        <v>0</v>
      </c>
      <c r="B64" s="2">
        <f>IF(C64=0,0,A64&amp;" "&amp;COUNTIF($A$1:$A64,A64))</f>
        <v>0</v>
      </c>
      <c r="C64" s="1">
        <v>0</v>
      </c>
      <c r="H64" s="2">
        <f t="shared" si="5"/>
        <v>0</v>
      </c>
      <c r="I64" s="2">
        <f t="shared" si="5"/>
        <v>0</v>
      </c>
      <c r="J64" s="2">
        <f t="shared" si="5"/>
        <v>0</v>
      </c>
      <c r="K64" s="2">
        <f t="shared" si="5"/>
        <v>0</v>
      </c>
      <c r="L64" s="2">
        <f t="shared" si="5"/>
        <v>0</v>
      </c>
      <c r="M64" s="2">
        <f t="shared" si="5"/>
        <v>0</v>
      </c>
      <c r="N64" s="2">
        <f t="shared" si="5"/>
        <v>0</v>
      </c>
    </row>
    <row r="65" spans="1:14" x14ac:dyDescent="0.25">
      <c r="A65" s="1">
        <f t="shared" si="1"/>
        <v>0</v>
      </c>
      <c r="B65" s="2">
        <f>IF(C65=0,0,A65&amp;" "&amp;COUNTIF($A$1:$A65,A65))</f>
        <v>0</v>
      </c>
      <c r="C65" s="1">
        <v>0</v>
      </c>
      <c r="H65" s="2">
        <f t="shared" si="5"/>
        <v>0</v>
      </c>
      <c r="I65" s="2">
        <f t="shared" si="5"/>
        <v>0</v>
      </c>
      <c r="J65" s="2">
        <f t="shared" si="5"/>
        <v>0</v>
      </c>
      <c r="K65" s="2">
        <f t="shared" si="5"/>
        <v>0</v>
      </c>
      <c r="L65" s="2">
        <f t="shared" si="5"/>
        <v>0</v>
      </c>
      <c r="M65" s="2">
        <f t="shared" si="5"/>
        <v>0</v>
      </c>
      <c r="N65" s="2">
        <f t="shared" si="5"/>
        <v>0</v>
      </c>
    </row>
    <row r="66" spans="1:14" x14ac:dyDescent="0.25">
      <c r="A66" s="1">
        <f t="shared" si="1"/>
        <v>0</v>
      </c>
      <c r="B66" s="2">
        <f>IF(C66=0,0,A66&amp;" "&amp;COUNTIF($A$1:$A66,A66))</f>
        <v>0</v>
      </c>
      <c r="C66" s="1">
        <v>0</v>
      </c>
      <c r="H66" s="2">
        <f t="shared" si="5"/>
        <v>0</v>
      </c>
      <c r="I66" s="2">
        <f t="shared" si="5"/>
        <v>0</v>
      </c>
      <c r="J66" s="2">
        <f t="shared" si="5"/>
        <v>0</v>
      </c>
      <c r="K66" s="2">
        <f t="shared" si="5"/>
        <v>0</v>
      </c>
      <c r="L66" s="2">
        <f t="shared" si="5"/>
        <v>0</v>
      </c>
      <c r="M66" s="2">
        <f t="shared" si="5"/>
        <v>0</v>
      </c>
      <c r="N66" s="2">
        <f t="shared" si="5"/>
        <v>0</v>
      </c>
    </row>
    <row r="67" spans="1:14" x14ac:dyDescent="0.25">
      <c r="A67" s="1">
        <f t="shared" ref="A67:A130" si="6">IF(C67=1,D67,0)</f>
        <v>0</v>
      </c>
      <c r="B67" s="2">
        <f>IF(C67=0,0,A67&amp;" "&amp;COUNTIF($A$1:$A67,A67))</f>
        <v>0</v>
      </c>
      <c r="C67" s="1">
        <v>0</v>
      </c>
      <c r="H67" s="2">
        <f t="shared" si="5"/>
        <v>0</v>
      </c>
      <c r="I67" s="2">
        <f t="shared" si="5"/>
        <v>0</v>
      </c>
      <c r="J67" s="2">
        <f t="shared" si="5"/>
        <v>0</v>
      </c>
      <c r="K67" s="2">
        <f t="shared" si="5"/>
        <v>0</v>
      </c>
      <c r="L67" s="2">
        <f t="shared" si="5"/>
        <v>0</v>
      </c>
      <c r="M67" s="2">
        <f t="shared" si="5"/>
        <v>0</v>
      </c>
      <c r="N67" s="2">
        <f t="shared" si="5"/>
        <v>0</v>
      </c>
    </row>
    <row r="68" spans="1:14" x14ac:dyDescent="0.25">
      <c r="A68" s="1">
        <f t="shared" si="6"/>
        <v>0</v>
      </c>
      <c r="B68" s="2">
        <f>IF(C68=0,0,A68&amp;" "&amp;COUNTIF($A$1:$A68,A68))</f>
        <v>0</v>
      </c>
      <c r="C68" s="1">
        <v>0</v>
      </c>
      <c r="H68" s="2">
        <f t="shared" si="5"/>
        <v>0</v>
      </c>
      <c r="I68" s="2">
        <f t="shared" si="5"/>
        <v>0</v>
      </c>
      <c r="J68" s="2">
        <f t="shared" si="5"/>
        <v>0</v>
      </c>
      <c r="K68" s="2">
        <f t="shared" si="5"/>
        <v>0</v>
      </c>
      <c r="L68" s="2">
        <f t="shared" si="5"/>
        <v>0</v>
      </c>
      <c r="M68" s="2">
        <f t="shared" si="5"/>
        <v>0</v>
      </c>
      <c r="N68" s="2">
        <f t="shared" si="5"/>
        <v>0</v>
      </c>
    </row>
    <row r="69" spans="1:14" x14ac:dyDescent="0.25">
      <c r="A69" s="1">
        <f t="shared" si="6"/>
        <v>0</v>
      </c>
      <c r="B69" s="2">
        <f>IF(C69=0,0,A69&amp;" "&amp;COUNTIF($A$1:$A69,A69))</f>
        <v>0</v>
      </c>
      <c r="C69" s="1">
        <v>0</v>
      </c>
      <c r="H69" s="2">
        <f t="shared" si="5"/>
        <v>0</v>
      </c>
      <c r="I69" s="2">
        <f t="shared" si="5"/>
        <v>0</v>
      </c>
      <c r="J69" s="2">
        <f t="shared" si="5"/>
        <v>0</v>
      </c>
      <c r="K69" s="2">
        <f t="shared" si="5"/>
        <v>0</v>
      </c>
      <c r="L69" s="2">
        <f t="shared" si="5"/>
        <v>0</v>
      </c>
      <c r="M69" s="2">
        <f t="shared" si="5"/>
        <v>0</v>
      </c>
      <c r="N69" s="2">
        <f t="shared" si="5"/>
        <v>0</v>
      </c>
    </row>
    <row r="70" spans="1:14" x14ac:dyDescent="0.25">
      <c r="A70" s="1">
        <f t="shared" si="6"/>
        <v>0</v>
      </c>
      <c r="B70" s="2">
        <f>IF(C70=0,0,A70&amp;" "&amp;COUNTIF($A$1:$A70,A70))</f>
        <v>0</v>
      </c>
      <c r="C70" s="1">
        <v>0</v>
      </c>
      <c r="H70" s="2">
        <f t="shared" si="5"/>
        <v>0</v>
      </c>
      <c r="I70" s="2">
        <f t="shared" si="5"/>
        <v>0</v>
      </c>
      <c r="J70" s="2">
        <f t="shared" si="5"/>
        <v>0</v>
      </c>
      <c r="K70" s="2">
        <f t="shared" si="5"/>
        <v>0</v>
      </c>
      <c r="L70" s="2">
        <f t="shared" si="5"/>
        <v>0</v>
      </c>
      <c r="M70" s="2">
        <f t="shared" si="5"/>
        <v>0</v>
      </c>
      <c r="N70" s="2">
        <f t="shared" si="5"/>
        <v>0</v>
      </c>
    </row>
    <row r="71" spans="1:14" x14ac:dyDescent="0.25">
      <c r="A71" s="1">
        <f t="shared" si="6"/>
        <v>0</v>
      </c>
      <c r="B71" s="2">
        <f>IF(C71=0,0,A71&amp;" "&amp;COUNTIF($A$1:$A71,A71))</f>
        <v>0</v>
      </c>
      <c r="C71" s="1">
        <v>0</v>
      </c>
      <c r="H71" s="2">
        <f t="shared" si="5"/>
        <v>0</v>
      </c>
      <c r="I71" s="2">
        <f t="shared" si="5"/>
        <v>0</v>
      </c>
      <c r="J71" s="2">
        <f t="shared" si="5"/>
        <v>0</v>
      </c>
      <c r="K71" s="2">
        <f t="shared" si="5"/>
        <v>0</v>
      </c>
      <c r="L71" s="2">
        <f t="shared" si="5"/>
        <v>0</v>
      </c>
      <c r="M71" s="2">
        <f t="shared" si="5"/>
        <v>0</v>
      </c>
      <c r="N71" s="2">
        <f t="shared" si="5"/>
        <v>0</v>
      </c>
    </row>
    <row r="72" spans="1:14" x14ac:dyDescent="0.25">
      <c r="A72" s="1">
        <f t="shared" si="6"/>
        <v>0</v>
      </c>
      <c r="B72" s="2">
        <f>IF(C72=0,0,A72&amp;" "&amp;COUNTIF($A$1:$A72,A72))</f>
        <v>0</v>
      </c>
      <c r="C72" s="1">
        <v>0</v>
      </c>
      <c r="H72" s="2">
        <f t="shared" si="5"/>
        <v>0</v>
      </c>
      <c r="I72" s="2">
        <f t="shared" si="5"/>
        <v>0</v>
      </c>
      <c r="J72" s="2">
        <f t="shared" si="5"/>
        <v>0</v>
      </c>
      <c r="K72" s="2">
        <f t="shared" si="5"/>
        <v>0</v>
      </c>
      <c r="L72" s="2">
        <f t="shared" si="5"/>
        <v>0</v>
      </c>
      <c r="M72" s="2">
        <f t="shared" si="5"/>
        <v>0</v>
      </c>
      <c r="N72" s="2">
        <f t="shared" si="5"/>
        <v>0</v>
      </c>
    </row>
    <row r="73" spans="1:14" x14ac:dyDescent="0.25">
      <c r="A73" s="1">
        <f t="shared" si="6"/>
        <v>0</v>
      </c>
      <c r="B73" s="2">
        <f>IF(C73=0,0,A73&amp;" "&amp;COUNTIF($A$1:$A73,A73))</f>
        <v>0</v>
      </c>
      <c r="C73" s="1">
        <v>0</v>
      </c>
      <c r="H73" s="2">
        <f t="shared" si="5"/>
        <v>0</v>
      </c>
      <c r="I73" s="2">
        <f t="shared" si="5"/>
        <v>0</v>
      </c>
      <c r="J73" s="2">
        <f t="shared" si="5"/>
        <v>0</v>
      </c>
      <c r="K73" s="2">
        <f t="shared" si="5"/>
        <v>0</v>
      </c>
      <c r="L73" s="2">
        <f t="shared" si="5"/>
        <v>0</v>
      </c>
      <c r="M73" s="2">
        <f t="shared" si="5"/>
        <v>0</v>
      </c>
      <c r="N73" s="2">
        <f t="shared" si="5"/>
        <v>0</v>
      </c>
    </row>
    <row r="74" spans="1:14" x14ac:dyDescent="0.25">
      <c r="A74" s="1">
        <f t="shared" si="6"/>
        <v>0</v>
      </c>
      <c r="B74" s="2">
        <f>IF(C74=0,0,A74&amp;" "&amp;COUNTIF($A$1:$A74,A74))</f>
        <v>0</v>
      </c>
      <c r="C74" s="1">
        <v>0</v>
      </c>
      <c r="H74" s="2">
        <f t="shared" si="5"/>
        <v>0</v>
      </c>
      <c r="I74" s="2">
        <f t="shared" si="5"/>
        <v>0</v>
      </c>
      <c r="J74" s="2">
        <f t="shared" si="5"/>
        <v>0</v>
      </c>
      <c r="K74" s="2">
        <f t="shared" si="5"/>
        <v>0</v>
      </c>
      <c r="L74" s="2">
        <f t="shared" si="5"/>
        <v>0</v>
      </c>
      <c r="M74" s="2">
        <f t="shared" si="5"/>
        <v>0</v>
      </c>
      <c r="N74" s="2">
        <f t="shared" si="5"/>
        <v>0</v>
      </c>
    </row>
    <row r="75" spans="1:14" x14ac:dyDescent="0.25">
      <c r="A75" s="1">
        <f t="shared" si="6"/>
        <v>0</v>
      </c>
      <c r="B75" s="2">
        <f>IF(C75=0,0,A75&amp;" "&amp;COUNTIF($A$1:$A75,A75))</f>
        <v>0</v>
      </c>
      <c r="C75" s="1">
        <v>0</v>
      </c>
      <c r="H75" s="2">
        <f t="shared" si="5"/>
        <v>0</v>
      </c>
      <c r="I75" s="2">
        <f t="shared" si="5"/>
        <v>0</v>
      </c>
      <c r="J75" s="2">
        <f t="shared" si="5"/>
        <v>0</v>
      </c>
      <c r="K75" s="2">
        <f t="shared" si="5"/>
        <v>0</v>
      </c>
      <c r="L75" s="2">
        <f t="shared" si="5"/>
        <v>0</v>
      </c>
      <c r="M75" s="2">
        <f t="shared" si="5"/>
        <v>0</v>
      </c>
      <c r="N75" s="2">
        <f t="shared" ref="H75:N110" si="7">IF($D75=N$1,$C75*1,0)</f>
        <v>0</v>
      </c>
    </row>
    <row r="76" spans="1:14" x14ac:dyDescent="0.25">
      <c r="A76" s="1">
        <f t="shared" si="6"/>
        <v>0</v>
      </c>
      <c r="B76" s="2">
        <f>IF(C76=0,0,A76&amp;" "&amp;COUNTIF($A$1:$A76,A76))</f>
        <v>0</v>
      </c>
      <c r="C76" s="1">
        <v>0</v>
      </c>
      <c r="H76" s="2">
        <f t="shared" si="7"/>
        <v>0</v>
      </c>
      <c r="I76" s="2">
        <f t="shared" si="7"/>
        <v>0</v>
      </c>
      <c r="J76" s="2">
        <f t="shared" si="7"/>
        <v>0</v>
      </c>
      <c r="K76" s="2">
        <f t="shared" si="7"/>
        <v>0</v>
      </c>
      <c r="L76" s="2">
        <f t="shared" si="7"/>
        <v>0</v>
      </c>
      <c r="M76" s="2">
        <f t="shared" si="7"/>
        <v>0</v>
      </c>
      <c r="N76" s="2">
        <f t="shared" si="7"/>
        <v>0</v>
      </c>
    </row>
    <row r="77" spans="1:14" x14ac:dyDescent="0.25">
      <c r="A77" s="1">
        <f t="shared" si="6"/>
        <v>0</v>
      </c>
      <c r="B77" s="2">
        <f>IF(C77=0,0,A77&amp;" "&amp;COUNTIF($A$1:$A77,A77))</f>
        <v>0</v>
      </c>
      <c r="C77" s="1">
        <v>0</v>
      </c>
      <c r="H77" s="2">
        <f t="shared" si="7"/>
        <v>0</v>
      </c>
      <c r="I77" s="2">
        <f t="shared" si="7"/>
        <v>0</v>
      </c>
      <c r="J77" s="2">
        <f t="shared" si="7"/>
        <v>0</v>
      </c>
      <c r="K77" s="2">
        <f t="shared" si="7"/>
        <v>0</v>
      </c>
      <c r="L77" s="2">
        <f t="shared" si="7"/>
        <v>0</v>
      </c>
      <c r="M77" s="2">
        <f t="shared" si="7"/>
        <v>0</v>
      </c>
      <c r="N77" s="2">
        <f t="shared" si="7"/>
        <v>0</v>
      </c>
    </row>
    <row r="78" spans="1:14" x14ac:dyDescent="0.25">
      <c r="A78" s="1">
        <f t="shared" si="6"/>
        <v>0</v>
      </c>
      <c r="B78" s="2">
        <f>IF(C78=0,0,A78&amp;" "&amp;COUNTIF($A$1:$A78,A78))</f>
        <v>0</v>
      </c>
      <c r="C78" s="1">
        <v>0</v>
      </c>
      <c r="H78" s="2">
        <f t="shared" si="7"/>
        <v>0</v>
      </c>
      <c r="I78" s="2">
        <f t="shared" si="7"/>
        <v>0</v>
      </c>
      <c r="J78" s="2">
        <f t="shared" si="7"/>
        <v>0</v>
      </c>
      <c r="K78" s="2">
        <f t="shared" si="7"/>
        <v>0</v>
      </c>
      <c r="L78" s="2">
        <f t="shared" si="7"/>
        <v>0</v>
      </c>
      <c r="M78" s="2">
        <f t="shared" si="7"/>
        <v>0</v>
      </c>
      <c r="N78" s="2">
        <f t="shared" si="7"/>
        <v>0</v>
      </c>
    </row>
    <row r="79" spans="1:14" x14ac:dyDescent="0.25">
      <c r="A79" s="1">
        <f t="shared" si="6"/>
        <v>0</v>
      </c>
      <c r="B79" s="2">
        <f>IF(C79=0,0,A79&amp;" "&amp;COUNTIF($A$1:$A79,A79))</f>
        <v>0</v>
      </c>
      <c r="C79" s="1">
        <v>0</v>
      </c>
      <c r="H79" s="2">
        <f t="shared" si="7"/>
        <v>0</v>
      </c>
      <c r="I79" s="2">
        <f t="shared" si="7"/>
        <v>0</v>
      </c>
      <c r="J79" s="2">
        <f t="shared" si="7"/>
        <v>0</v>
      </c>
      <c r="K79" s="2">
        <f t="shared" si="7"/>
        <v>0</v>
      </c>
      <c r="L79" s="2">
        <f t="shared" si="7"/>
        <v>0</v>
      </c>
      <c r="M79" s="2">
        <f t="shared" si="7"/>
        <v>0</v>
      </c>
      <c r="N79" s="2">
        <f t="shared" si="7"/>
        <v>0</v>
      </c>
    </row>
    <row r="80" spans="1:14" x14ac:dyDescent="0.25">
      <c r="A80" s="1">
        <f t="shared" si="6"/>
        <v>0</v>
      </c>
      <c r="B80" s="2">
        <f>IF(C80=0,0,A80&amp;" "&amp;COUNTIF($A$1:$A80,A80))</f>
        <v>0</v>
      </c>
      <c r="C80" s="1">
        <v>0</v>
      </c>
      <c r="H80" s="2">
        <f t="shared" si="7"/>
        <v>0</v>
      </c>
      <c r="I80" s="2">
        <f t="shared" si="7"/>
        <v>0</v>
      </c>
      <c r="J80" s="2">
        <f t="shared" si="7"/>
        <v>0</v>
      </c>
      <c r="K80" s="2">
        <f t="shared" si="7"/>
        <v>0</v>
      </c>
      <c r="L80" s="2">
        <f t="shared" si="7"/>
        <v>0</v>
      </c>
      <c r="M80" s="2">
        <f t="shared" si="7"/>
        <v>0</v>
      </c>
      <c r="N80" s="2">
        <f t="shared" si="7"/>
        <v>0</v>
      </c>
    </row>
    <row r="81" spans="1:14" x14ac:dyDescent="0.25">
      <c r="A81" s="1">
        <f t="shared" si="6"/>
        <v>0</v>
      </c>
      <c r="B81" s="2">
        <f>IF(C81=0,0,A81&amp;" "&amp;COUNTIF($A$1:$A81,A81))</f>
        <v>0</v>
      </c>
      <c r="C81" s="1">
        <v>0</v>
      </c>
      <c r="H81" s="2">
        <f t="shared" si="7"/>
        <v>0</v>
      </c>
      <c r="I81" s="2">
        <f t="shared" si="7"/>
        <v>0</v>
      </c>
      <c r="J81" s="2">
        <f t="shared" si="7"/>
        <v>0</v>
      </c>
      <c r="K81" s="2">
        <f t="shared" si="7"/>
        <v>0</v>
      </c>
      <c r="L81" s="2">
        <f t="shared" si="7"/>
        <v>0</v>
      </c>
      <c r="M81" s="2">
        <f t="shared" si="7"/>
        <v>0</v>
      </c>
      <c r="N81" s="2">
        <f t="shared" si="7"/>
        <v>0</v>
      </c>
    </row>
    <row r="82" spans="1:14" x14ac:dyDescent="0.25">
      <c r="A82" s="1">
        <f t="shared" si="6"/>
        <v>0</v>
      </c>
      <c r="B82" s="2">
        <f>IF(C82=0,0,A82&amp;" "&amp;COUNTIF($A$1:$A82,A82))</f>
        <v>0</v>
      </c>
      <c r="C82" s="1">
        <v>0</v>
      </c>
      <c r="H82" s="2">
        <f t="shared" si="7"/>
        <v>0</v>
      </c>
      <c r="I82" s="2">
        <f t="shared" si="7"/>
        <v>0</v>
      </c>
      <c r="J82" s="2">
        <f t="shared" si="7"/>
        <v>0</v>
      </c>
      <c r="K82" s="2">
        <f t="shared" si="7"/>
        <v>0</v>
      </c>
      <c r="L82" s="2">
        <f t="shared" si="7"/>
        <v>0</v>
      </c>
      <c r="M82" s="2">
        <f t="shared" si="7"/>
        <v>0</v>
      </c>
      <c r="N82" s="2">
        <f t="shared" si="7"/>
        <v>0</v>
      </c>
    </row>
    <row r="83" spans="1:14" x14ac:dyDescent="0.25">
      <c r="A83" s="1">
        <f t="shared" si="6"/>
        <v>0</v>
      </c>
      <c r="B83" s="2">
        <f>IF(C83=0,0,A83&amp;" "&amp;COUNTIF($A$1:$A83,A83))</f>
        <v>0</v>
      </c>
      <c r="C83" s="1">
        <v>0</v>
      </c>
      <c r="H83" s="2">
        <f t="shared" si="7"/>
        <v>0</v>
      </c>
      <c r="I83" s="2">
        <f t="shared" si="7"/>
        <v>0</v>
      </c>
      <c r="J83" s="2">
        <f t="shared" si="7"/>
        <v>0</v>
      </c>
      <c r="K83" s="2">
        <f t="shared" si="7"/>
        <v>0</v>
      </c>
      <c r="L83" s="2">
        <f t="shared" si="7"/>
        <v>0</v>
      </c>
      <c r="M83" s="2">
        <f t="shared" si="7"/>
        <v>0</v>
      </c>
      <c r="N83" s="2">
        <f t="shared" si="7"/>
        <v>0</v>
      </c>
    </row>
    <row r="84" spans="1:14" x14ac:dyDescent="0.25">
      <c r="A84" s="1">
        <f t="shared" si="6"/>
        <v>0</v>
      </c>
      <c r="B84" s="2">
        <f>IF(C84=0,0,A84&amp;" "&amp;COUNTIF($A$1:$A84,A84))</f>
        <v>0</v>
      </c>
      <c r="C84" s="1">
        <v>0</v>
      </c>
      <c r="H84" s="2">
        <f t="shared" si="7"/>
        <v>0</v>
      </c>
      <c r="I84" s="2">
        <f t="shared" si="7"/>
        <v>0</v>
      </c>
      <c r="J84" s="2">
        <f t="shared" si="7"/>
        <v>0</v>
      </c>
      <c r="K84" s="2">
        <f t="shared" si="7"/>
        <v>0</v>
      </c>
      <c r="L84" s="2">
        <f t="shared" si="7"/>
        <v>0</v>
      </c>
      <c r="M84" s="2">
        <f t="shared" si="7"/>
        <v>0</v>
      </c>
      <c r="N84" s="2">
        <f t="shared" si="7"/>
        <v>0</v>
      </c>
    </row>
    <row r="85" spans="1:14" x14ac:dyDescent="0.25">
      <c r="A85" s="1">
        <f t="shared" si="6"/>
        <v>0</v>
      </c>
      <c r="B85" s="2">
        <f>IF(C85=0,0,A85&amp;" "&amp;COUNTIF($A$1:$A85,A85))</f>
        <v>0</v>
      </c>
      <c r="C85" s="1">
        <v>0</v>
      </c>
      <c r="H85" s="2">
        <f t="shared" si="7"/>
        <v>0</v>
      </c>
      <c r="I85" s="2">
        <f t="shared" si="7"/>
        <v>0</v>
      </c>
      <c r="J85" s="2">
        <f t="shared" si="7"/>
        <v>0</v>
      </c>
      <c r="K85" s="2">
        <f t="shared" si="7"/>
        <v>0</v>
      </c>
      <c r="L85" s="2">
        <f t="shared" si="7"/>
        <v>0</v>
      </c>
      <c r="M85" s="2">
        <f t="shared" si="7"/>
        <v>0</v>
      </c>
      <c r="N85" s="2">
        <f t="shared" si="7"/>
        <v>0</v>
      </c>
    </row>
    <row r="86" spans="1:14" x14ac:dyDescent="0.25">
      <c r="A86" s="1">
        <f t="shared" si="6"/>
        <v>0</v>
      </c>
      <c r="B86" s="2">
        <f>IF(C86=0,0,A86&amp;" "&amp;COUNTIF($A$1:$A86,A86))</f>
        <v>0</v>
      </c>
      <c r="C86" s="1">
        <v>0</v>
      </c>
      <c r="H86" s="2">
        <f t="shared" si="7"/>
        <v>0</v>
      </c>
      <c r="I86" s="2">
        <f t="shared" si="7"/>
        <v>0</v>
      </c>
      <c r="J86" s="2">
        <f t="shared" si="7"/>
        <v>0</v>
      </c>
      <c r="K86" s="2">
        <f t="shared" si="7"/>
        <v>0</v>
      </c>
      <c r="L86" s="2">
        <f t="shared" si="7"/>
        <v>0</v>
      </c>
      <c r="M86" s="2">
        <f t="shared" si="7"/>
        <v>0</v>
      </c>
      <c r="N86" s="2">
        <f t="shared" si="7"/>
        <v>0</v>
      </c>
    </row>
    <row r="87" spans="1:14" x14ac:dyDescent="0.25">
      <c r="A87" s="1">
        <f t="shared" si="6"/>
        <v>0</v>
      </c>
      <c r="B87" s="2">
        <f>IF(C87=0,0,A87&amp;" "&amp;COUNTIF($A$1:$A87,A87))</f>
        <v>0</v>
      </c>
      <c r="C87" s="1">
        <v>0</v>
      </c>
      <c r="H87" s="2">
        <f t="shared" si="7"/>
        <v>0</v>
      </c>
      <c r="I87" s="2">
        <f t="shared" si="7"/>
        <v>0</v>
      </c>
      <c r="J87" s="2">
        <f t="shared" si="7"/>
        <v>0</v>
      </c>
      <c r="K87" s="2">
        <f t="shared" si="7"/>
        <v>0</v>
      </c>
      <c r="L87" s="2">
        <f t="shared" si="7"/>
        <v>0</v>
      </c>
      <c r="M87" s="2">
        <f t="shared" si="7"/>
        <v>0</v>
      </c>
      <c r="N87" s="2">
        <f t="shared" si="7"/>
        <v>0</v>
      </c>
    </row>
    <row r="88" spans="1:14" x14ac:dyDescent="0.25">
      <c r="A88" s="1">
        <f t="shared" si="6"/>
        <v>0</v>
      </c>
      <c r="B88" s="2">
        <f>IF(C88=0,0,A88&amp;" "&amp;COUNTIF($A$1:$A88,A88))</f>
        <v>0</v>
      </c>
      <c r="C88" s="1">
        <v>0</v>
      </c>
      <c r="H88" s="2">
        <f t="shared" si="7"/>
        <v>0</v>
      </c>
      <c r="I88" s="2">
        <f t="shared" si="7"/>
        <v>0</v>
      </c>
      <c r="J88" s="2">
        <f t="shared" si="7"/>
        <v>0</v>
      </c>
      <c r="K88" s="2">
        <f t="shared" si="7"/>
        <v>0</v>
      </c>
      <c r="L88" s="2">
        <f t="shared" si="7"/>
        <v>0</v>
      </c>
      <c r="M88" s="2">
        <f t="shared" si="7"/>
        <v>0</v>
      </c>
      <c r="N88" s="2">
        <f t="shared" si="7"/>
        <v>0</v>
      </c>
    </row>
    <row r="89" spans="1:14" x14ac:dyDescent="0.25">
      <c r="A89" s="1">
        <f t="shared" si="6"/>
        <v>0</v>
      </c>
      <c r="B89" s="2">
        <f>IF(C89=0,0,A89&amp;" "&amp;COUNTIF($A$1:$A89,A89))</f>
        <v>0</v>
      </c>
      <c r="C89" s="1">
        <v>0</v>
      </c>
      <c r="H89" s="2">
        <f t="shared" si="7"/>
        <v>0</v>
      </c>
      <c r="I89" s="2">
        <f t="shared" si="7"/>
        <v>0</v>
      </c>
      <c r="J89" s="2">
        <f t="shared" si="7"/>
        <v>0</v>
      </c>
      <c r="K89" s="2">
        <f t="shared" si="7"/>
        <v>0</v>
      </c>
      <c r="L89" s="2">
        <f t="shared" si="7"/>
        <v>0</v>
      </c>
      <c r="M89" s="2">
        <f t="shared" si="7"/>
        <v>0</v>
      </c>
      <c r="N89" s="2">
        <f t="shared" si="7"/>
        <v>0</v>
      </c>
    </row>
    <row r="90" spans="1:14" x14ac:dyDescent="0.25">
      <c r="A90" s="1">
        <f t="shared" si="6"/>
        <v>0</v>
      </c>
      <c r="B90" s="2">
        <f>IF(C90=0,0,A90&amp;" "&amp;COUNTIF($A$1:$A90,A90))</f>
        <v>0</v>
      </c>
      <c r="C90" s="1">
        <v>0</v>
      </c>
      <c r="H90" s="2">
        <f t="shared" si="7"/>
        <v>0</v>
      </c>
      <c r="I90" s="2">
        <f t="shared" si="7"/>
        <v>0</v>
      </c>
      <c r="J90" s="2">
        <f t="shared" si="7"/>
        <v>0</v>
      </c>
      <c r="K90" s="2">
        <f t="shared" si="7"/>
        <v>0</v>
      </c>
      <c r="L90" s="2">
        <f t="shared" si="7"/>
        <v>0</v>
      </c>
      <c r="M90" s="2">
        <f t="shared" si="7"/>
        <v>0</v>
      </c>
      <c r="N90" s="2">
        <f t="shared" si="7"/>
        <v>0</v>
      </c>
    </row>
    <row r="91" spans="1:14" x14ac:dyDescent="0.25">
      <c r="A91" s="1">
        <f t="shared" si="6"/>
        <v>0</v>
      </c>
      <c r="B91" s="2">
        <f>IF(C91=0,0,A91&amp;" "&amp;COUNTIF($A$1:$A91,A91))</f>
        <v>0</v>
      </c>
      <c r="C91" s="1">
        <v>0</v>
      </c>
      <c r="H91" s="2">
        <f t="shared" si="7"/>
        <v>0</v>
      </c>
      <c r="I91" s="2">
        <f t="shared" si="7"/>
        <v>0</v>
      </c>
      <c r="J91" s="2">
        <f t="shared" si="7"/>
        <v>0</v>
      </c>
      <c r="K91" s="2">
        <f t="shared" si="7"/>
        <v>0</v>
      </c>
      <c r="L91" s="2">
        <f t="shared" si="7"/>
        <v>0</v>
      </c>
      <c r="M91" s="2">
        <f t="shared" si="7"/>
        <v>0</v>
      </c>
      <c r="N91" s="2">
        <f t="shared" si="7"/>
        <v>0</v>
      </c>
    </row>
    <row r="92" spans="1:14" x14ac:dyDescent="0.25">
      <c r="A92" s="1">
        <f t="shared" si="6"/>
        <v>0</v>
      </c>
      <c r="B92" s="2">
        <f>IF(C92=0,0,A92&amp;" "&amp;COUNTIF($A$1:$A92,A92))</f>
        <v>0</v>
      </c>
      <c r="C92" s="1">
        <v>0</v>
      </c>
      <c r="H92" s="2">
        <f t="shared" si="7"/>
        <v>0</v>
      </c>
      <c r="I92" s="2">
        <f t="shared" si="7"/>
        <v>0</v>
      </c>
      <c r="J92" s="2">
        <f t="shared" si="7"/>
        <v>0</v>
      </c>
      <c r="K92" s="2">
        <f t="shared" si="7"/>
        <v>0</v>
      </c>
      <c r="L92" s="2">
        <f t="shared" si="7"/>
        <v>0</v>
      </c>
      <c r="M92" s="2">
        <f t="shared" si="7"/>
        <v>0</v>
      </c>
      <c r="N92" s="2">
        <f t="shared" si="7"/>
        <v>0</v>
      </c>
    </row>
    <row r="93" spans="1:14" x14ac:dyDescent="0.25">
      <c r="A93" s="1">
        <f t="shared" si="6"/>
        <v>0</v>
      </c>
      <c r="B93" s="2">
        <f>IF(C93=0,0,A93&amp;" "&amp;COUNTIF($A$1:$A93,A93))</f>
        <v>0</v>
      </c>
      <c r="C93" s="1">
        <v>0</v>
      </c>
      <c r="H93" s="2">
        <f t="shared" si="7"/>
        <v>0</v>
      </c>
      <c r="I93" s="2">
        <f t="shared" si="7"/>
        <v>0</v>
      </c>
      <c r="J93" s="2">
        <f t="shared" si="7"/>
        <v>0</v>
      </c>
      <c r="K93" s="2">
        <f t="shared" si="7"/>
        <v>0</v>
      </c>
      <c r="L93" s="2">
        <f t="shared" si="7"/>
        <v>0</v>
      </c>
      <c r="M93" s="2">
        <f t="shared" si="7"/>
        <v>0</v>
      </c>
      <c r="N93" s="2">
        <f t="shared" si="7"/>
        <v>0</v>
      </c>
    </row>
    <row r="94" spans="1:14" x14ac:dyDescent="0.25">
      <c r="A94" s="1">
        <f t="shared" si="6"/>
        <v>0</v>
      </c>
      <c r="B94" s="2">
        <f>IF(C94=0,0,A94&amp;" "&amp;COUNTIF($A$1:$A94,A94))</f>
        <v>0</v>
      </c>
      <c r="C94" s="1">
        <v>0</v>
      </c>
      <c r="H94" s="2">
        <f t="shared" si="7"/>
        <v>0</v>
      </c>
      <c r="I94" s="2">
        <f t="shared" si="7"/>
        <v>0</v>
      </c>
      <c r="J94" s="2">
        <f t="shared" si="7"/>
        <v>0</v>
      </c>
      <c r="K94" s="2">
        <f t="shared" si="7"/>
        <v>0</v>
      </c>
      <c r="L94" s="2">
        <f t="shared" si="7"/>
        <v>0</v>
      </c>
      <c r="M94" s="2">
        <f t="shared" si="7"/>
        <v>0</v>
      </c>
      <c r="N94" s="2">
        <f t="shared" si="7"/>
        <v>0</v>
      </c>
    </row>
    <row r="95" spans="1:14" x14ac:dyDescent="0.25">
      <c r="A95" s="1">
        <f t="shared" si="6"/>
        <v>0</v>
      </c>
      <c r="B95" s="2">
        <f>IF(C95=0,0,A95&amp;" "&amp;COUNTIF($A$1:$A95,A95))</f>
        <v>0</v>
      </c>
      <c r="C95" s="1">
        <v>0</v>
      </c>
      <c r="H95" s="2">
        <f t="shared" si="7"/>
        <v>0</v>
      </c>
      <c r="I95" s="2">
        <f t="shared" si="7"/>
        <v>0</v>
      </c>
      <c r="J95" s="2">
        <f t="shared" si="7"/>
        <v>0</v>
      </c>
      <c r="K95" s="2">
        <f t="shared" si="7"/>
        <v>0</v>
      </c>
      <c r="L95" s="2">
        <f t="shared" si="7"/>
        <v>0</v>
      </c>
      <c r="M95" s="2">
        <f t="shared" si="7"/>
        <v>0</v>
      </c>
      <c r="N95" s="2">
        <f t="shared" si="7"/>
        <v>0</v>
      </c>
    </row>
    <row r="96" spans="1:14" x14ac:dyDescent="0.25">
      <c r="A96" s="1">
        <f t="shared" si="6"/>
        <v>0</v>
      </c>
      <c r="B96" s="2">
        <f>IF(C96=0,0,A96&amp;" "&amp;COUNTIF($A$1:$A96,A96))</f>
        <v>0</v>
      </c>
      <c r="C96" s="1">
        <v>0</v>
      </c>
      <c r="H96" s="2">
        <f t="shared" si="7"/>
        <v>0</v>
      </c>
      <c r="I96" s="2">
        <f t="shared" si="7"/>
        <v>0</v>
      </c>
      <c r="J96" s="2">
        <f t="shared" si="7"/>
        <v>0</v>
      </c>
      <c r="K96" s="2">
        <f t="shared" si="7"/>
        <v>0</v>
      </c>
      <c r="L96" s="2">
        <f t="shared" si="7"/>
        <v>0</v>
      </c>
      <c r="M96" s="2">
        <f t="shared" si="7"/>
        <v>0</v>
      </c>
      <c r="N96" s="2">
        <f t="shared" si="7"/>
        <v>0</v>
      </c>
    </row>
    <row r="97" spans="1:14" x14ac:dyDescent="0.25">
      <c r="A97" s="1">
        <f t="shared" si="6"/>
        <v>0</v>
      </c>
      <c r="B97" s="2">
        <f>IF(C97=0,0,A97&amp;" "&amp;COUNTIF($A$1:$A97,A97))</f>
        <v>0</v>
      </c>
      <c r="C97" s="1">
        <v>0</v>
      </c>
      <c r="H97" s="2">
        <f t="shared" si="7"/>
        <v>0</v>
      </c>
      <c r="I97" s="2">
        <f t="shared" si="7"/>
        <v>0</v>
      </c>
      <c r="J97" s="2">
        <f t="shared" si="7"/>
        <v>0</v>
      </c>
      <c r="K97" s="2">
        <f t="shared" si="7"/>
        <v>0</v>
      </c>
      <c r="L97" s="2">
        <f t="shared" si="7"/>
        <v>0</v>
      </c>
      <c r="M97" s="2">
        <f t="shared" si="7"/>
        <v>0</v>
      </c>
      <c r="N97" s="2">
        <f t="shared" si="7"/>
        <v>0</v>
      </c>
    </row>
    <row r="98" spans="1:14" x14ac:dyDescent="0.25">
      <c r="A98" s="1">
        <f t="shared" si="6"/>
        <v>0</v>
      </c>
      <c r="B98" s="2">
        <f>IF(C98=0,0,A98&amp;" "&amp;COUNTIF($A$1:$A98,A98))</f>
        <v>0</v>
      </c>
      <c r="C98" s="1">
        <v>0</v>
      </c>
      <c r="H98" s="2">
        <f t="shared" si="7"/>
        <v>0</v>
      </c>
      <c r="I98" s="2">
        <f t="shared" si="7"/>
        <v>0</v>
      </c>
      <c r="J98" s="2">
        <f t="shared" si="7"/>
        <v>0</v>
      </c>
      <c r="K98" s="2">
        <f t="shared" si="7"/>
        <v>0</v>
      </c>
      <c r="L98" s="2">
        <f t="shared" si="7"/>
        <v>0</v>
      </c>
      <c r="M98" s="2">
        <f t="shared" si="7"/>
        <v>0</v>
      </c>
      <c r="N98" s="2">
        <f t="shared" si="7"/>
        <v>0</v>
      </c>
    </row>
    <row r="99" spans="1:14" x14ac:dyDescent="0.25">
      <c r="A99" s="1">
        <f t="shared" si="6"/>
        <v>0</v>
      </c>
      <c r="B99" s="2">
        <f>IF(C99=0,0,A99&amp;" "&amp;COUNTIF($A$1:$A99,A99))</f>
        <v>0</v>
      </c>
      <c r="C99" s="1">
        <v>0</v>
      </c>
      <c r="H99" s="2">
        <f t="shared" si="7"/>
        <v>0</v>
      </c>
      <c r="I99" s="2">
        <f t="shared" si="7"/>
        <v>0</v>
      </c>
      <c r="J99" s="2">
        <f t="shared" si="7"/>
        <v>0</v>
      </c>
      <c r="K99" s="2">
        <f t="shared" si="7"/>
        <v>0</v>
      </c>
      <c r="L99" s="2">
        <f t="shared" si="7"/>
        <v>0</v>
      </c>
      <c r="M99" s="2">
        <f t="shared" si="7"/>
        <v>0</v>
      </c>
      <c r="N99" s="2">
        <f t="shared" si="7"/>
        <v>0</v>
      </c>
    </row>
    <row r="100" spans="1:14" x14ac:dyDescent="0.25">
      <c r="A100" s="1">
        <f t="shared" si="6"/>
        <v>0</v>
      </c>
      <c r="B100" s="2">
        <f>IF(C100=0,0,A100&amp;" "&amp;COUNTIF($A$1:$A100,A100))</f>
        <v>0</v>
      </c>
      <c r="C100" s="1">
        <v>0</v>
      </c>
      <c r="H100" s="2">
        <f t="shared" si="7"/>
        <v>0</v>
      </c>
      <c r="I100" s="2">
        <f t="shared" si="7"/>
        <v>0</v>
      </c>
      <c r="J100" s="2">
        <f t="shared" si="7"/>
        <v>0</v>
      </c>
      <c r="K100" s="2">
        <f t="shared" si="7"/>
        <v>0</v>
      </c>
      <c r="L100" s="2">
        <f t="shared" si="7"/>
        <v>0</v>
      </c>
      <c r="M100" s="2">
        <f t="shared" si="7"/>
        <v>0</v>
      </c>
      <c r="N100" s="2">
        <f t="shared" si="7"/>
        <v>0</v>
      </c>
    </row>
    <row r="101" spans="1:14" x14ac:dyDescent="0.25">
      <c r="A101" s="1">
        <f t="shared" si="6"/>
        <v>0</v>
      </c>
      <c r="B101" s="2">
        <f>IF(C101=0,0,A101&amp;" "&amp;COUNTIF($A$1:$A101,A101))</f>
        <v>0</v>
      </c>
      <c r="C101" s="1">
        <v>0</v>
      </c>
      <c r="H101" s="2">
        <f t="shared" si="7"/>
        <v>0</v>
      </c>
      <c r="I101" s="2">
        <f t="shared" si="7"/>
        <v>0</v>
      </c>
      <c r="J101" s="2">
        <f t="shared" si="7"/>
        <v>0</v>
      </c>
      <c r="K101" s="2">
        <f t="shared" si="7"/>
        <v>0</v>
      </c>
      <c r="L101" s="2">
        <f t="shared" si="7"/>
        <v>0</v>
      </c>
      <c r="M101" s="2">
        <f t="shared" si="7"/>
        <v>0</v>
      </c>
      <c r="N101" s="2">
        <f t="shared" si="7"/>
        <v>0</v>
      </c>
    </row>
    <row r="102" spans="1:14" x14ac:dyDescent="0.25">
      <c r="A102" s="1">
        <f t="shared" si="6"/>
        <v>0</v>
      </c>
      <c r="B102" s="2">
        <f>IF(C102=0,0,A102&amp;" "&amp;COUNTIF($A$1:$A102,A102))</f>
        <v>0</v>
      </c>
      <c r="C102" s="1">
        <v>0</v>
      </c>
      <c r="H102" s="2">
        <f t="shared" si="7"/>
        <v>0</v>
      </c>
      <c r="I102" s="2">
        <f t="shared" si="7"/>
        <v>0</v>
      </c>
      <c r="J102" s="2">
        <f t="shared" si="7"/>
        <v>0</v>
      </c>
      <c r="K102" s="2">
        <f t="shared" si="7"/>
        <v>0</v>
      </c>
      <c r="L102" s="2">
        <f t="shared" si="7"/>
        <v>0</v>
      </c>
      <c r="M102" s="2">
        <f t="shared" si="7"/>
        <v>0</v>
      </c>
      <c r="N102" s="2">
        <f t="shared" si="7"/>
        <v>0</v>
      </c>
    </row>
    <row r="103" spans="1:14" x14ac:dyDescent="0.25">
      <c r="A103" s="1">
        <f t="shared" si="6"/>
        <v>0</v>
      </c>
      <c r="B103" s="2">
        <f>IF(C103=0,0,A103&amp;" "&amp;COUNTIF($A$1:$A103,A103))</f>
        <v>0</v>
      </c>
      <c r="C103" s="1">
        <v>0</v>
      </c>
      <c r="H103" s="2">
        <f t="shared" si="7"/>
        <v>0</v>
      </c>
      <c r="I103" s="2">
        <f t="shared" si="7"/>
        <v>0</v>
      </c>
      <c r="J103" s="2">
        <f t="shared" si="7"/>
        <v>0</v>
      </c>
      <c r="K103" s="2">
        <f t="shared" si="7"/>
        <v>0</v>
      </c>
      <c r="L103" s="2">
        <f t="shared" si="7"/>
        <v>0</v>
      </c>
      <c r="M103" s="2">
        <f t="shared" si="7"/>
        <v>0</v>
      </c>
      <c r="N103" s="2">
        <f t="shared" si="7"/>
        <v>0</v>
      </c>
    </row>
    <row r="104" spans="1:14" x14ac:dyDescent="0.25">
      <c r="A104" s="1">
        <f t="shared" si="6"/>
        <v>0</v>
      </c>
      <c r="B104" s="2">
        <f>IF(C104=0,0,A104&amp;" "&amp;COUNTIF($A$1:$A104,A104))</f>
        <v>0</v>
      </c>
      <c r="C104" s="1">
        <v>0</v>
      </c>
      <c r="H104" s="2">
        <f t="shared" si="7"/>
        <v>0</v>
      </c>
      <c r="I104" s="2">
        <f t="shared" si="7"/>
        <v>0</v>
      </c>
      <c r="J104" s="2">
        <f t="shared" si="7"/>
        <v>0</v>
      </c>
      <c r="K104" s="2">
        <f t="shared" si="7"/>
        <v>0</v>
      </c>
      <c r="L104" s="2">
        <f t="shared" si="7"/>
        <v>0</v>
      </c>
      <c r="M104" s="2">
        <f t="shared" si="7"/>
        <v>0</v>
      </c>
      <c r="N104" s="2">
        <f t="shared" si="7"/>
        <v>0</v>
      </c>
    </row>
    <row r="105" spans="1:14" x14ac:dyDescent="0.25">
      <c r="A105" s="1">
        <f t="shared" si="6"/>
        <v>0</v>
      </c>
      <c r="B105" s="2">
        <f>IF(C105=0,0,A105&amp;" "&amp;COUNTIF($A$1:$A105,A105))</f>
        <v>0</v>
      </c>
      <c r="C105" s="1">
        <v>0</v>
      </c>
      <c r="H105" s="2">
        <f t="shared" si="7"/>
        <v>0</v>
      </c>
      <c r="I105" s="2">
        <f t="shared" si="7"/>
        <v>0</v>
      </c>
      <c r="J105" s="2">
        <f t="shared" si="7"/>
        <v>0</v>
      </c>
      <c r="K105" s="2">
        <f t="shared" si="7"/>
        <v>0</v>
      </c>
      <c r="L105" s="2">
        <f t="shared" si="7"/>
        <v>0</v>
      </c>
      <c r="M105" s="2">
        <f t="shared" si="7"/>
        <v>0</v>
      </c>
      <c r="N105" s="2">
        <f t="shared" si="7"/>
        <v>0</v>
      </c>
    </row>
    <row r="106" spans="1:14" x14ac:dyDescent="0.25">
      <c r="A106" s="1">
        <f t="shared" si="6"/>
        <v>0</v>
      </c>
      <c r="B106" s="2">
        <f>IF(C106=0,0,A106&amp;" "&amp;COUNTIF($A$1:$A106,A106))</f>
        <v>0</v>
      </c>
      <c r="C106" s="1">
        <v>0</v>
      </c>
      <c r="H106" s="2">
        <f t="shared" si="7"/>
        <v>0</v>
      </c>
      <c r="I106" s="2">
        <f t="shared" si="7"/>
        <v>0</v>
      </c>
      <c r="J106" s="2">
        <f t="shared" si="7"/>
        <v>0</v>
      </c>
      <c r="K106" s="2">
        <f t="shared" si="7"/>
        <v>0</v>
      </c>
      <c r="L106" s="2">
        <f t="shared" si="7"/>
        <v>0</v>
      </c>
      <c r="M106" s="2">
        <f t="shared" si="7"/>
        <v>0</v>
      </c>
      <c r="N106" s="2">
        <f t="shared" si="7"/>
        <v>0</v>
      </c>
    </row>
    <row r="107" spans="1:14" x14ac:dyDescent="0.25">
      <c r="A107" s="1">
        <f t="shared" si="6"/>
        <v>0</v>
      </c>
      <c r="B107" s="2">
        <f>IF(C107=0,0,A107&amp;" "&amp;COUNTIF($A$1:$A107,A107))</f>
        <v>0</v>
      </c>
      <c r="C107" s="1">
        <v>0</v>
      </c>
      <c r="H107" s="2">
        <f t="shared" si="7"/>
        <v>0</v>
      </c>
      <c r="I107" s="2">
        <f t="shared" si="7"/>
        <v>0</v>
      </c>
      <c r="J107" s="2">
        <f t="shared" si="7"/>
        <v>0</v>
      </c>
      <c r="K107" s="2">
        <f t="shared" si="7"/>
        <v>0</v>
      </c>
      <c r="L107" s="2">
        <f t="shared" si="7"/>
        <v>0</v>
      </c>
      <c r="M107" s="2">
        <f t="shared" si="7"/>
        <v>0</v>
      </c>
      <c r="N107" s="2">
        <f t="shared" si="7"/>
        <v>0</v>
      </c>
    </row>
    <row r="108" spans="1:14" x14ac:dyDescent="0.25">
      <c r="A108" s="1">
        <f t="shared" si="6"/>
        <v>0</v>
      </c>
      <c r="B108" s="2">
        <f>IF(C108=0,0,A108&amp;" "&amp;COUNTIF($A$1:$A108,A108))</f>
        <v>0</v>
      </c>
      <c r="C108" s="1">
        <v>0</v>
      </c>
      <c r="H108" s="2">
        <f t="shared" si="7"/>
        <v>0</v>
      </c>
      <c r="I108" s="2">
        <f t="shared" si="7"/>
        <v>0</v>
      </c>
      <c r="J108" s="2">
        <f t="shared" si="7"/>
        <v>0</v>
      </c>
      <c r="K108" s="2">
        <f t="shared" si="7"/>
        <v>0</v>
      </c>
      <c r="L108" s="2">
        <f t="shared" si="7"/>
        <v>0</v>
      </c>
      <c r="M108" s="2">
        <f t="shared" si="7"/>
        <v>0</v>
      </c>
      <c r="N108" s="2">
        <f t="shared" si="7"/>
        <v>0</v>
      </c>
    </row>
    <row r="109" spans="1:14" x14ac:dyDescent="0.25">
      <c r="A109" s="1">
        <f t="shared" si="6"/>
        <v>0</v>
      </c>
      <c r="B109" s="2">
        <f>IF(C109=0,0,A109&amp;" "&amp;COUNTIF($A$1:$A109,A109))</f>
        <v>0</v>
      </c>
      <c r="C109" s="1">
        <v>0</v>
      </c>
      <c r="H109" s="2">
        <f t="shared" si="7"/>
        <v>0</v>
      </c>
      <c r="I109" s="2">
        <f t="shared" si="7"/>
        <v>0</v>
      </c>
      <c r="J109" s="2">
        <f t="shared" si="7"/>
        <v>0</v>
      </c>
      <c r="K109" s="2">
        <f t="shared" si="7"/>
        <v>0</v>
      </c>
      <c r="L109" s="2">
        <f t="shared" si="7"/>
        <v>0</v>
      </c>
      <c r="M109" s="2">
        <f t="shared" si="7"/>
        <v>0</v>
      </c>
      <c r="N109" s="2">
        <f t="shared" si="7"/>
        <v>0</v>
      </c>
    </row>
    <row r="110" spans="1:14" x14ac:dyDescent="0.25">
      <c r="A110" s="1">
        <f t="shared" si="6"/>
        <v>0</v>
      </c>
      <c r="B110" s="2">
        <f>IF(C110=0,0,A110&amp;" "&amp;COUNTIF($A$1:$A110,A110))</f>
        <v>0</v>
      </c>
      <c r="C110" s="1">
        <v>0</v>
      </c>
      <c r="H110" s="2">
        <f t="shared" si="7"/>
        <v>0</v>
      </c>
      <c r="I110" s="2">
        <f t="shared" si="7"/>
        <v>0</v>
      </c>
      <c r="J110" s="2">
        <f t="shared" si="7"/>
        <v>0</v>
      </c>
      <c r="K110" s="2">
        <f t="shared" si="7"/>
        <v>0</v>
      </c>
      <c r="L110" s="2">
        <f t="shared" si="7"/>
        <v>0</v>
      </c>
      <c r="M110" s="2">
        <f t="shared" si="7"/>
        <v>0</v>
      </c>
      <c r="N110" s="2">
        <f t="shared" si="7"/>
        <v>0</v>
      </c>
    </row>
    <row r="111" spans="1:14" x14ac:dyDescent="0.25">
      <c r="A111" s="1">
        <f t="shared" si="6"/>
        <v>0</v>
      </c>
      <c r="B111" s="2">
        <f>IF(C111=0,0,A111&amp;" "&amp;COUNTIF($A$1:$A111,A111))</f>
        <v>0</v>
      </c>
      <c r="C111" s="1">
        <v>0</v>
      </c>
      <c r="H111" s="2">
        <f t="shared" ref="H111:N147" si="8">IF($D111=H$1,$C111*1,0)</f>
        <v>0</v>
      </c>
      <c r="I111" s="2">
        <f t="shared" si="8"/>
        <v>0</v>
      </c>
      <c r="J111" s="2">
        <f t="shared" si="8"/>
        <v>0</v>
      </c>
      <c r="K111" s="2">
        <f t="shared" si="8"/>
        <v>0</v>
      </c>
      <c r="L111" s="2">
        <f t="shared" si="8"/>
        <v>0</v>
      </c>
      <c r="M111" s="2">
        <f t="shared" si="8"/>
        <v>0</v>
      </c>
      <c r="N111" s="2">
        <f t="shared" si="8"/>
        <v>0</v>
      </c>
    </row>
    <row r="112" spans="1:14" x14ac:dyDescent="0.25">
      <c r="A112" s="1">
        <f t="shared" si="6"/>
        <v>0</v>
      </c>
      <c r="B112" s="2">
        <f>IF(C112=0,0,A112&amp;" "&amp;COUNTIF($A$1:$A112,A112))</f>
        <v>0</v>
      </c>
      <c r="C112" s="1">
        <v>0</v>
      </c>
      <c r="H112" s="2">
        <f t="shared" si="8"/>
        <v>0</v>
      </c>
      <c r="I112" s="2">
        <f t="shared" si="8"/>
        <v>0</v>
      </c>
      <c r="J112" s="2">
        <f t="shared" si="8"/>
        <v>0</v>
      </c>
      <c r="K112" s="2">
        <f t="shared" si="8"/>
        <v>0</v>
      </c>
      <c r="L112" s="2">
        <f t="shared" si="8"/>
        <v>0</v>
      </c>
      <c r="M112" s="2">
        <f t="shared" si="8"/>
        <v>0</v>
      </c>
      <c r="N112" s="2">
        <f t="shared" si="8"/>
        <v>0</v>
      </c>
    </row>
    <row r="113" spans="1:14" x14ac:dyDescent="0.25">
      <c r="A113" s="1">
        <f t="shared" si="6"/>
        <v>0</v>
      </c>
      <c r="B113" s="2">
        <f>IF(C113=0,0,A113&amp;" "&amp;COUNTIF($A$1:$A113,A113))</f>
        <v>0</v>
      </c>
      <c r="C113" s="1">
        <v>0</v>
      </c>
      <c r="H113" s="2">
        <f t="shared" si="8"/>
        <v>0</v>
      </c>
      <c r="I113" s="2">
        <f t="shared" si="8"/>
        <v>0</v>
      </c>
      <c r="J113" s="2">
        <f t="shared" si="8"/>
        <v>0</v>
      </c>
      <c r="K113" s="2">
        <f t="shared" si="8"/>
        <v>0</v>
      </c>
      <c r="L113" s="2">
        <f t="shared" si="8"/>
        <v>0</v>
      </c>
      <c r="M113" s="2">
        <f t="shared" si="8"/>
        <v>0</v>
      </c>
      <c r="N113" s="2">
        <f t="shared" si="8"/>
        <v>0</v>
      </c>
    </row>
    <row r="114" spans="1:14" x14ac:dyDescent="0.25">
      <c r="A114" s="1">
        <f t="shared" si="6"/>
        <v>0</v>
      </c>
      <c r="B114" s="2">
        <f>IF(C114=0,0,A114&amp;" "&amp;COUNTIF($A$1:$A114,A114))</f>
        <v>0</v>
      </c>
      <c r="C114" s="1">
        <v>0</v>
      </c>
      <c r="H114" s="2">
        <f t="shared" si="8"/>
        <v>0</v>
      </c>
      <c r="I114" s="2">
        <f t="shared" si="8"/>
        <v>0</v>
      </c>
      <c r="J114" s="2">
        <f t="shared" si="8"/>
        <v>0</v>
      </c>
      <c r="K114" s="2">
        <f t="shared" si="8"/>
        <v>0</v>
      </c>
      <c r="L114" s="2">
        <f t="shared" si="8"/>
        <v>0</v>
      </c>
      <c r="M114" s="2">
        <f t="shared" si="8"/>
        <v>0</v>
      </c>
      <c r="N114" s="2">
        <f t="shared" si="8"/>
        <v>0</v>
      </c>
    </row>
    <row r="115" spans="1:14" x14ac:dyDescent="0.25">
      <c r="A115" s="1">
        <f t="shared" si="6"/>
        <v>0</v>
      </c>
      <c r="B115" s="2">
        <f>IF(C115=0,0,A115&amp;" "&amp;COUNTIF($A$1:$A115,A115))</f>
        <v>0</v>
      </c>
      <c r="C115" s="1">
        <v>0</v>
      </c>
      <c r="H115" s="2">
        <f t="shared" si="8"/>
        <v>0</v>
      </c>
      <c r="I115" s="2">
        <f t="shared" si="8"/>
        <v>0</v>
      </c>
      <c r="J115" s="2">
        <f t="shared" si="8"/>
        <v>0</v>
      </c>
      <c r="K115" s="2">
        <f t="shared" si="8"/>
        <v>0</v>
      </c>
      <c r="L115" s="2">
        <f t="shared" si="8"/>
        <v>0</v>
      </c>
      <c r="M115" s="2">
        <f t="shared" si="8"/>
        <v>0</v>
      </c>
      <c r="N115" s="2">
        <f t="shared" si="8"/>
        <v>0</v>
      </c>
    </row>
    <row r="116" spans="1:14" x14ac:dyDescent="0.25">
      <c r="A116" s="1">
        <f t="shared" si="6"/>
        <v>0</v>
      </c>
      <c r="B116" s="2">
        <f>IF(C116=0,0,A116&amp;" "&amp;COUNTIF($A$1:$A116,A116))</f>
        <v>0</v>
      </c>
      <c r="C116" s="1">
        <v>0</v>
      </c>
      <c r="H116" s="2">
        <f t="shared" si="8"/>
        <v>0</v>
      </c>
      <c r="I116" s="2">
        <f t="shared" si="8"/>
        <v>0</v>
      </c>
      <c r="J116" s="2">
        <f t="shared" si="8"/>
        <v>0</v>
      </c>
      <c r="K116" s="2">
        <f t="shared" si="8"/>
        <v>0</v>
      </c>
      <c r="L116" s="2">
        <f t="shared" si="8"/>
        <v>0</v>
      </c>
      <c r="M116" s="2">
        <f t="shared" si="8"/>
        <v>0</v>
      </c>
      <c r="N116" s="2">
        <f t="shared" si="8"/>
        <v>0</v>
      </c>
    </row>
    <row r="117" spans="1:14" x14ac:dyDescent="0.25">
      <c r="A117" s="1">
        <f t="shared" si="6"/>
        <v>0</v>
      </c>
      <c r="B117" s="2">
        <f>IF(C117=0,0,A117&amp;" "&amp;COUNTIF($A$1:$A117,A117))</f>
        <v>0</v>
      </c>
      <c r="C117" s="1">
        <v>0</v>
      </c>
      <c r="H117" s="2">
        <f t="shared" si="8"/>
        <v>0</v>
      </c>
      <c r="I117" s="2">
        <f t="shared" si="8"/>
        <v>0</v>
      </c>
      <c r="J117" s="2">
        <f t="shared" si="8"/>
        <v>0</v>
      </c>
      <c r="K117" s="2">
        <f t="shared" si="8"/>
        <v>0</v>
      </c>
      <c r="L117" s="2">
        <f t="shared" si="8"/>
        <v>0</v>
      </c>
      <c r="M117" s="2">
        <f t="shared" si="8"/>
        <v>0</v>
      </c>
      <c r="N117" s="2">
        <f t="shared" si="8"/>
        <v>0</v>
      </c>
    </row>
    <row r="118" spans="1:14" x14ac:dyDescent="0.25">
      <c r="A118" s="1">
        <f t="shared" si="6"/>
        <v>0</v>
      </c>
      <c r="B118" s="2">
        <f>IF(C118=0,0,A118&amp;" "&amp;COUNTIF($A$1:$A118,A118))</f>
        <v>0</v>
      </c>
      <c r="C118" s="1">
        <v>0</v>
      </c>
      <c r="H118" s="2">
        <f t="shared" si="8"/>
        <v>0</v>
      </c>
      <c r="I118" s="2">
        <f t="shared" si="8"/>
        <v>0</v>
      </c>
      <c r="J118" s="2">
        <f t="shared" si="8"/>
        <v>0</v>
      </c>
      <c r="K118" s="2">
        <f t="shared" si="8"/>
        <v>0</v>
      </c>
      <c r="L118" s="2">
        <f t="shared" si="8"/>
        <v>0</v>
      </c>
      <c r="M118" s="2">
        <f t="shared" si="8"/>
        <v>0</v>
      </c>
      <c r="N118" s="2">
        <f t="shared" si="8"/>
        <v>0</v>
      </c>
    </row>
    <row r="119" spans="1:14" x14ac:dyDescent="0.25">
      <c r="A119" s="1">
        <f t="shared" si="6"/>
        <v>0</v>
      </c>
      <c r="B119" s="2">
        <f>IF(C119=0,0,A119&amp;" "&amp;COUNTIF($A$1:$A119,A119))</f>
        <v>0</v>
      </c>
      <c r="C119" s="1">
        <v>0</v>
      </c>
      <c r="H119" s="2">
        <f t="shared" si="8"/>
        <v>0</v>
      </c>
      <c r="I119" s="2">
        <f t="shared" si="8"/>
        <v>0</v>
      </c>
      <c r="J119" s="2">
        <f t="shared" si="8"/>
        <v>0</v>
      </c>
      <c r="K119" s="2">
        <f t="shared" si="8"/>
        <v>0</v>
      </c>
      <c r="L119" s="2">
        <f t="shared" si="8"/>
        <v>0</v>
      </c>
      <c r="M119" s="2">
        <f t="shared" si="8"/>
        <v>0</v>
      </c>
      <c r="N119" s="2">
        <f t="shared" si="8"/>
        <v>0</v>
      </c>
    </row>
    <row r="120" spans="1:14" x14ac:dyDescent="0.25">
      <c r="A120" s="1">
        <f t="shared" si="6"/>
        <v>0</v>
      </c>
      <c r="B120" s="2">
        <f>IF(C120=0,0,A120&amp;" "&amp;COUNTIF($A$1:$A120,A120))</f>
        <v>0</v>
      </c>
      <c r="C120" s="1">
        <v>0</v>
      </c>
      <c r="H120" s="2">
        <f t="shared" si="8"/>
        <v>0</v>
      </c>
      <c r="I120" s="2">
        <f t="shared" si="8"/>
        <v>0</v>
      </c>
      <c r="J120" s="2">
        <f t="shared" si="8"/>
        <v>0</v>
      </c>
      <c r="K120" s="2">
        <f t="shared" si="8"/>
        <v>0</v>
      </c>
      <c r="L120" s="2">
        <f t="shared" si="8"/>
        <v>0</v>
      </c>
      <c r="M120" s="2">
        <f t="shared" si="8"/>
        <v>0</v>
      </c>
      <c r="N120" s="2">
        <f t="shared" si="8"/>
        <v>0</v>
      </c>
    </row>
    <row r="121" spans="1:14" x14ac:dyDescent="0.25">
      <c r="A121" s="1">
        <f t="shared" si="6"/>
        <v>0</v>
      </c>
      <c r="B121" s="2">
        <f>IF(C121=0,0,A121&amp;" "&amp;COUNTIF($A$1:$A121,A121))</f>
        <v>0</v>
      </c>
      <c r="C121" s="1">
        <v>0</v>
      </c>
      <c r="H121" s="2">
        <f t="shared" si="8"/>
        <v>0</v>
      </c>
      <c r="I121" s="2">
        <f t="shared" si="8"/>
        <v>0</v>
      </c>
      <c r="J121" s="2">
        <f t="shared" si="8"/>
        <v>0</v>
      </c>
      <c r="K121" s="2">
        <f t="shared" si="8"/>
        <v>0</v>
      </c>
      <c r="L121" s="2">
        <f t="shared" si="8"/>
        <v>0</v>
      </c>
      <c r="M121" s="2">
        <f t="shared" si="8"/>
        <v>0</v>
      </c>
      <c r="N121" s="2">
        <f t="shared" si="8"/>
        <v>0</v>
      </c>
    </row>
    <row r="122" spans="1:14" x14ac:dyDescent="0.25">
      <c r="A122" s="1">
        <f t="shared" si="6"/>
        <v>0</v>
      </c>
      <c r="B122" s="2">
        <f>IF(C122=0,0,A122&amp;" "&amp;COUNTIF($A$1:$A122,A122))</f>
        <v>0</v>
      </c>
      <c r="C122" s="1">
        <v>0</v>
      </c>
      <c r="H122" s="2">
        <f t="shared" si="8"/>
        <v>0</v>
      </c>
      <c r="I122" s="2">
        <f t="shared" si="8"/>
        <v>0</v>
      </c>
      <c r="J122" s="2">
        <f t="shared" si="8"/>
        <v>0</v>
      </c>
      <c r="K122" s="2">
        <f t="shared" si="8"/>
        <v>0</v>
      </c>
      <c r="L122" s="2">
        <f t="shared" si="8"/>
        <v>0</v>
      </c>
      <c r="M122" s="2">
        <f t="shared" si="8"/>
        <v>0</v>
      </c>
      <c r="N122" s="2">
        <f t="shared" si="8"/>
        <v>0</v>
      </c>
    </row>
    <row r="123" spans="1:14" x14ac:dyDescent="0.25">
      <c r="A123" s="1">
        <f t="shared" si="6"/>
        <v>0</v>
      </c>
      <c r="B123" s="2">
        <f>IF(C123=0,0,A123&amp;" "&amp;COUNTIF($A$1:$A123,A123))</f>
        <v>0</v>
      </c>
      <c r="C123" s="1">
        <v>0</v>
      </c>
      <c r="H123" s="2">
        <f t="shared" si="8"/>
        <v>0</v>
      </c>
      <c r="I123" s="2">
        <f t="shared" si="8"/>
        <v>0</v>
      </c>
      <c r="J123" s="2">
        <f t="shared" si="8"/>
        <v>0</v>
      </c>
      <c r="K123" s="2">
        <f t="shared" si="8"/>
        <v>0</v>
      </c>
      <c r="L123" s="2">
        <f t="shared" si="8"/>
        <v>0</v>
      </c>
      <c r="M123" s="2">
        <f t="shared" si="8"/>
        <v>0</v>
      </c>
      <c r="N123" s="2">
        <f t="shared" si="8"/>
        <v>0</v>
      </c>
    </row>
    <row r="124" spans="1:14" x14ac:dyDescent="0.25">
      <c r="A124" s="1">
        <f t="shared" si="6"/>
        <v>0</v>
      </c>
      <c r="B124" s="2">
        <f>IF(C124=0,0,A124&amp;" "&amp;COUNTIF($A$1:$A124,A124))</f>
        <v>0</v>
      </c>
      <c r="C124" s="1">
        <v>0</v>
      </c>
      <c r="H124" s="2">
        <f t="shared" si="8"/>
        <v>0</v>
      </c>
      <c r="I124" s="2">
        <f t="shared" si="8"/>
        <v>0</v>
      </c>
      <c r="J124" s="2">
        <f t="shared" si="8"/>
        <v>0</v>
      </c>
      <c r="K124" s="2">
        <f t="shared" si="8"/>
        <v>0</v>
      </c>
      <c r="L124" s="2">
        <f t="shared" si="8"/>
        <v>0</v>
      </c>
      <c r="M124" s="2">
        <f t="shared" si="8"/>
        <v>0</v>
      </c>
      <c r="N124" s="2">
        <f t="shared" si="8"/>
        <v>0</v>
      </c>
    </row>
    <row r="125" spans="1:14" x14ac:dyDescent="0.25">
      <c r="A125" s="1">
        <f t="shared" si="6"/>
        <v>0</v>
      </c>
      <c r="B125" s="2">
        <f>IF(C125=0,0,A125&amp;" "&amp;COUNTIF($A$1:$A125,A125))</f>
        <v>0</v>
      </c>
      <c r="C125" s="1">
        <v>0</v>
      </c>
      <c r="H125" s="2">
        <f t="shared" si="8"/>
        <v>0</v>
      </c>
      <c r="I125" s="2">
        <f t="shared" si="8"/>
        <v>0</v>
      </c>
      <c r="J125" s="2">
        <f t="shared" si="8"/>
        <v>0</v>
      </c>
      <c r="K125" s="2">
        <f t="shared" si="8"/>
        <v>0</v>
      </c>
      <c r="L125" s="2">
        <f t="shared" si="8"/>
        <v>0</v>
      </c>
      <c r="M125" s="2">
        <f t="shared" si="8"/>
        <v>0</v>
      </c>
      <c r="N125" s="2">
        <f t="shared" si="8"/>
        <v>0</v>
      </c>
    </row>
    <row r="126" spans="1:14" x14ac:dyDescent="0.25">
      <c r="A126" s="1">
        <f t="shared" si="6"/>
        <v>0</v>
      </c>
      <c r="B126" s="2">
        <f>IF(C126=0,0,A126&amp;" "&amp;COUNTIF($A$1:$A126,A126))</f>
        <v>0</v>
      </c>
      <c r="C126" s="1">
        <v>0</v>
      </c>
      <c r="H126" s="2">
        <f t="shared" si="8"/>
        <v>0</v>
      </c>
      <c r="I126" s="2">
        <f t="shared" si="8"/>
        <v>0</v>
      </c>
      <c r="J126" s="2">
        <f t="shared" si="8"/>
        <v>0</v>
      </c>
      <c r="K126" s="2">
        <f t="shared" si="8"/>
        <v>0</v>
      </c>
      <c r="L126" s="2">
        <f t="shared" si="8"/>
        <v>0</v>
      </c>
      <c r="M126" s="2">
        <f t="shared" si="8"/>
        <v>0</v>
      </c>
      <c r="N126" s="2">
        <f t="shared" si="8"/>
        <v>0</v>
      </c>
    </row>
    <row r="127" spans="1:14" x14ac:dyDescent="0.25">
      <c r="A127" s="1">
        <f t="shared" si="6"/>
        <v>0</v>
      </c>
      <c r="B127" s="2">
        <f>IF(C127=0,0,A127&amp;" "&amp;COUNTIF($A$1:$A127,A127))</f>
        <v>0</v>
      </c>
      <c r="C127" s="1">
        <v>0</v>
      </c>
      <c r="H127" s="2">
        <f t="shared" si="8"/>
        <v>0</v>
      </c>
      <c r="I127" s="2">
        <f t="shared" si="8"/>
        <v>0</v>
      </c>
      <c r="J127" s="2">
        <f t="shared" si="8"/>
        <v>0</v>
      </c>
      <c r="K127" s="2">
        <f t="shared" si="8"/>
        <v>0</v>
      </c>
      <c r="L127" s="2">
        <f t="shared" si="8"/>
        <v>0</v>
      </c>
      <c r="M127" s="2">
        <f t="shared" si="8"/>
        <v>0</v>
      </c>
      <c r="N127" s="2">
        <f t="shared" si="8"/>
        <v>0</v>
      </c>
    </row>
    <row r="128" spans="1:14" x14ac:dyDescent="0.25">
      <c r="A128" s="1">
        <f t="shared" si="6"/>
        <v>0</v>
      </c>
      <c r="B128" s="2">
        <f>IF(C128=0,0,A128&amp;" "&amp;COUNTIF($A$1:$A128,A128))</f>
        <v>0</v>
      </c>
      <c r="C128" s="1">
        <v>0</v>
      </c>
      <c r="H128" s="2">
        <f t="shared" si="8"/>
        <v>0</v>
      </c>
      <c r="I128" s="2">
        <f t="shared" si="8"/>
        <v>0</v>
      </c>
      <c r="J128" s="2">
        <f t="shared" si="8"/>
        <v>0</v>
      </c>
      <c r="K128" s="2">
        <f t="shared" si="8"/>
        <v>0</v>
      </c>
      <c r="L128" s="2">
        <f t="shared" si="8"/>
        <v>0</v>
      </c>
      <c r="M128" s="2">
        <f t="shared" si="8"/>
        <v>0</v>
      </c>
      <c r="N128" s="2">
        <f t="shared" si="8"/>
        <v>0</v>
      </c>
    </row>
    <row r="129" spans="1:14" x14ac:dyDescent="0.25">
      <c r="A129" s="1">
        <f t="shared" si="6"/>
        <v>0</v>
      </c>
      <c r="B129" s="2">
        <f>IF(C129=0,0,A129&amp;" "&amp;COUNTIF($A$1:$A129,A129))</f>
        <v>0</v>
      </c>
      <c r="C129" s="1">
        <v>0</v>
      </c>
      <c r="H129" s="2">
        <f t="shared" si="8"/>
        <v>0</v>
      </c>
      <c r="I129" s="2">
        <f t="shared" si="8"/>
        <v>0</v>
      </c>
      <c r="J129" s="2">
        <f t="shared" si="8"/>
        <v>0</v>
      </c>
      <c r="K129" s="2">
        <f t="shared" si="8"/>
        <v>0</v>
      </c>
      <c r="L129" s="2">
        <f t="shared" si="8"/>
        <v>0</v>
      </c>
      <c r="M129" s="2">
        <f t="shared" si="8"/>
        <v>0</v>
      </c>
      <c r="N129" s="2">
        <f t="shared" si="8"/>
        <v>0</v>
      </c>
    </row>
    <row r="130" spans="1:14" x14ac:dyDescent="0.25">
      <c r="A130" s="1">
        <f t="shared" si="6"/>
        <v>0</v>
      </c>
      <c r="B130" s="2">
        <f>IF(C130=0,0,A130&amp;" "&amp;COUNTIF($A$1:$A130,A130))</f>
        <v>0</v>
      </c>
      <c r="C130" s="1">
        <v>0</v>
      </c>
      <c r="H130" s="2">
        <f t="shared" si="8"/>
        <v>0</v>
      </c>
      <c r="I130" s="2">
        <f t="shared" si="8"/>
        <v>0</v>
      </c>
      <c r="J130" s="2">
        <f t="shared" si="8"/>
        <v>0</v>
      </c>
      <c r="K130" s="2">
        <f t="shared" si="8"/>
        <v>0</v>
      </c>
      <c r="L130" s="2">
        <f t="shared" si="8"/>
        <v>0</v>
      </c>
      <c r="M130" s="2">
        <f t="shared" si="8"/>
        <v>0</v>
      </c>
      <c r="N130" s="2">
        <f t="shared" si="8"/>
        <v>0</v>
      </c>
    </row>
    <row r="131" spans="1:14" x14ac:dyDescent="0.25">
      <c r="A131" s="1">
        <f t="shared" ref="A131:A194" si="9">IF(C131=1,D131,0)</f>
        <v>0</v>
      </c>
      <c r="B131" s="2">
        <f>IF(C131=0,0,A131&amp;" "&amp;COUNTIF($A$1:$A131,A131))</f>
        <v>0</v>
      </c>
      <c r="C131" s="1">
        <v>0</v>
      </c>
      <c r="H131" s="2">
        <f t="shared" si="8"/>
        <v>0</v>
      </c>
      <c r="I131" s="2">
        <f t="shared" si="8"/>
        <v>0</v>
      </c>
      <c r="J131" s="2">
        <f t="shared" si="8"/>
        <v>0</v>
      </c>
      <c r="K131" s="2">
        <f t="shared" si="8"/>
        <v>0</v>
      </c>
      <c r="L131" s="2">
        <f t="shared" si="8"/>
        <v>0</v>
      </c>
      <c r="M131" s="2">
        <f t="shared" si="8"/>
        <v>0</v>
      </c>
      <c r="N131" s="2">
        <f t="shared" si="8"/>
        <v>0</v>
      </c>
    </row>
    <row r="132" spans="1:14" x14ac:dyDescent="0.25">
      <c r="A132" s="1">
        <f t="shared" si="9"/>
        <v>0</v>
      </c>
      <c r="B132" s="2">
        <f>IF(C132=0,0,A132&amp;" "&amp;COUNTIF($A$1:$A132,A132))</f>
        <v>0</v>
      </c>
      <c r="C132" s="1">
        <v>0</v>
      </c>
      <c r="H132" s="2">
        <f t="shared" si="8"/>
        <v>0</v>
      </c>
      <c r="I132" s="2">
        <f t="shared" si="8"/>
        <v>0</v>
      </c>
      <c r="J132" s="2">
        <f t="shared" si="8"/>
        <v>0</v>
      </c>
      <c r="K132" s="2">
        <f t="shared" si="8"/>
        <v>0</v>
      </c>
      <c r="L132" s="2">
        <f t="shared" si="8"/>
        <v>0</v>
      </c>
      <c r="M132" s="2">
        <f t="shared" si="8"/>
        <v>0</v>
      </c>
      <c r="N132" s="2">
        <f t="shared" si="8"/>
        <v>0</v>
      </c>
    </row>
    <row r="133" spans="1:14" x14ac:dyDescent="0.25">
      <c r="A133" s="1">
        <f t="shared" si="9"/>
        <v>0</v>
      </c>
      <c r="B133" s="2">
        <f>IF(C133=0,0,A133&amp;" "&amp;COUNTIF($A$1:$A133,A133))</f>
        <v>0</v>
      </c>
      <c r="C133" s="1">
        <v>0</v>
      </c>
      <c r="H133" s="2">
        <f t="shared" si="8"/>
        <v>0</v>
      </c>
      <c r="I133" s="2">
        <f t="shared" si="8"/>
        <v>0</v>
      </c>
      <c r="J133" s="2">
        <f t="shared" si="8"/>
        <v>0</v>
      </c>
      <c r="K133" s="2">
        <f t="shared" si="8"/>
        <v>0</v>
      </c>
      <c r="L133" s="2">
        <f t="shared" si="8"/>
        <v>0</v>
      </c>
      <c r="M133" s="2">
        <f t="shared" si="8"/>
        <v>0</v>
      </c>
      <c r="N133" s="2">
        <f t="shared" si="8"/>
        <v>0</v>
      </c>
    </row>
    <row r="134" spans="1:14" x14ac:dyDescent="0.25">
      <c r="A134" s="1">
        <f t="shared" si="9"/>
        <v>0</v>
      </c>
      <c r="B134" s="2">
        <f>IF(C134=0,0,A134&amp;" "&amp;COUNTIF($A$1:$A134,A134))</f>
        <v>0</v>
      </c>
      <c r="C134" s="1">
        <v>0</v>
      </c>
      <c r="H134" s="2">
        <f t="shared" si="8"/>
        <v>0</v>
      </c>
      <c r="I134" s="2">
        <f t="shared" si="8"/>
        <v>0</v>
      </c>
      <c r="J134" s="2">
        <f t="shared" si="8"/>
        <v>0</v>
      </c>
      <c r="K134" s="2">
        <f t="shared" si="8"/>
        <v>0</v>
      </c>
      <c r="L134" s="2">
        <f t="shared" si="8"/>
        <v>0</v>
      </c>
      <c r="M134" s="2">
        <f t="shared" si="8"/>
        <v>0</v>
      </c>
      <c r="N134" s="2">
        <f t="shared" si="8"/>
        <v>0</v>
      </c>
    </row>
    <row r="135" spans="1:14" x14ac:dyDescent="0.25">
      <c r="A135" s="1">
        <f t="shared" si="9"/>
        <v>0</v>
      </c>
      <c r="B135" s="2">
        <f>IF(C135=0,0,A135&amp;" "&amp;COUNTIF($A$1:$A135,A135))</f>
        <v>0</v>
      </c>
      <c r="C135" s="1">
        <v>0</v>
      </c>
      <c r="H135" s="2">
        <f t="shared" si="8"/>
        <v>0</v>
      </c>
      <c r="I135" s="2">
        <f t="shared" si="8"/>
        <v>0</v>
      </c>
      <c r="J135" s="2">
        <f t="shared" si="8"/>
        <v>0</v>
      </c>
      <c r="K135" s="2">
        <f t="shared" si="8"/>
        <v>0</v>
      </c>
      <c r="L135" s="2">
        <f t="shared" si="8"/>
        <v>0</v>
      </c>
      <c r="M135" s="2">
        <f t="shared" si="8"/>
        <v>0</v>
      </c>
      <c r="N135" s="2">
        <f t="shared" si="8"/>
        <v>0</v>
      </c>
    </row>
    <row r="136" spans="1:14" x14ac:dyDescent="0.25">
      <c r="A136" s="1">
        <f t="shared" si="9"/>
        <v>0</v>
      </c>
      <c r="B136" s="2">
        <f>IF(C136=0,0,A136&amp;" "&amp;COUNTIF($A$1:$A136,A136))</f>
        <v>0</v>
      </c>
      <c r="C136" s="1">
        <v>0</v>
      </c>
      <c r="H136" s="2">
        <f t="shared" si="8"/>
        <v>0</v>
      </c>
      <c r="I136" s="2">
        <f t="shared" si="8"/>
        <v>0</v>
      </c>
      <c r="J136" s="2">
        <f t="shared" si="8"/>
        <v>0</v>
      </c>
      <c r="K136" s="2">
        <f t="shared" si="8"/>
        <v>0</v>
      </c>
      <c r="L136" s="2">
        <f t="shared" si="8"/>
        <v>0</v>
      </c>
      <c r="M136" s="2">
        <f t="shared" si="8"/>
        <v>0</v>
      </c>
      <c r="N136" s="2">
        <f t="shared" si="8"/>
        <v>0</v>
      </c>
    </row>
    <row r="137" spans="1:14" x14ac:dyDescent="0.25">
      <c r="A137" s="1">
        <f t="shared" si="9"/>
        <v>0</v>
      </c>
      <c r="B137" s="2">
        <f>IF(C137=0,0,A137&amp;" "&amp;COUNTIF($A$1:$A137,A137))</f>
        <v>0</v>
      </c>
      <c r="C137" s="1">
        <v>0</v>
      </c>
      <c r="H137" s="2">
        <f t="shared" si="8"/>
        <v>0</v>
      </c>
      <c r="I137" s="2">
        <f t="shared" si="8"/>
        <v>0</v>
      </c>
      <c r="J137" s="2">
        <f t="shared" si="8"/>
        <v>0</v>
      </c>
      <c r="K137" s="2">
        <f t="shared" si="8"/>
        <v>0</v>
      </c>
      <c r="L137" s="2">
        <f t="shared" si="8"/>
        <v>0</v>
      </c>
      <c r="M137" s="2">
        <f t="shared" si="8"/>
        <v>0</v>
      </c>
      <c r="N137" s="2">
        <f t="shared" si="8"/>
        <v>0</v>
      </c>
    </row>
    <row r="138" spans="1:14" x14ac:dyDescent="0.25">
      <c r="A138" s="1">
        <f t="shared" si="9"/>
        <v>0</v>
      </c>
      <c r="B138" s="2">
        <f>IF(C138=0,0,A138&amp;" "&amp;COUNTIF($A$1:$A138,A138))</f>
        <v>0</v>
      </c>
      <c r="C138" s="1">
        <v>0</v>
      </c>
      <c r="H138" s="2">
        <f t="shared" si="8"/>
        <v>0</v>
      </c>
      <c r="I138" s="2">
        <f t="shared" si="8"/>
        <v>0</v>
      </c>
      <c r="J138" s="2">
        <f t="shared" si="8"/>
        <v>0</v>
      </c>
      <c r="K138" s="2">
        <f t="shared" si="8"/>
        <v>0</v>
      </c>
      <c r="L138" s="2">
        <f t="shared" si="8"/>
        <v>0</v>
      </c>
      <c r="M138" s="2">
        <f t="shared" si="8"/>
        <v>0</v>
      </c>
      <c r="N138" s="2">
        <f t="shared" si="8"/>
        <v>0</v>
      </c>
    </row>
    <row r="139" spans="1:14" x14ac:dyDescent="0.25">
      <c r="A139" s="1">
        <f t="shared" si="9"/>
        <v>0</v>
      </c>
      <c r="B139" s="2">
        <f>IF(C139=0,0,A139&amp;" "&amp;COUNTIF($A$1:$A139,A139))</f>
        <v>0</v>
      </c>
      <c r="C139" s="1">
        <v>0</v>
      </c>
      <c r="H139" s="2">
        <f t="shared" si="8"/>
        <v>0</v>
      </c>
      <c r="I139" s="2">
        <f t="shared" si="8"/>
        <v>0</v>
      </c>
      <c r="J139" s="2">
        <f t="shared" si="8"/>
        <v>0</v>
      </c>
      <c r="K139" s="2">
        <f t="shared" si="8"/>
        <v>0</v>
      </c>
      <c r="L139" s="2">
        <f t="shared" si="8"/>
        <v>0</v>
      </c>
      <c r="M139" s="2">
        <f t="shared" si="8"/>
        <v>0</v>
      </c>
      <c r="N139" s="2">
        <f t="shared" si="8"/>
        <v>0</v>
      </c>
    </row>
    <row r="140" spans="1:14" x14ac:dyDescent="0.25">
      <c r="A140" s="1">
        <f t="shared" si="9"/>
        <v>0</v>
      </c>
      <c r="B140" s="2">
        <f>IF(C140=0,0,A140&amp;" "&amp;COUNTIF($A$1:$A140,A140))</f>
        <v>0</v>
      </c>
      <c r="C140" s="1">
        <v>0</v>
      </c>
      <c r="H140" s="2">
        <f t="shared" si="8"/>
        <v>0</v>
      </c>
      <c r="I140" s="2">
        <f t="shared" si="8"/>
        <v>0</v>
      </c>
      <c r="J140" s="2">
        <f t="shared" si="8"/>
        <v>0</v>
      </c>
      <c r="K140" s="2">
        <f t="shared" si="8"/>
        <v>0</v>
      </c>
      <c r="L140" s="2">
        <f t="shared" si="8"/>
        <v>0</v>
      </c>
      <c r="M140" s="2">
        <f t="shared" si="8"/>
        <v>0</v>
      </c>
      <c r="N140" s="2">
        <f t="shared" si="8"/>
        <v>0</v>
      </c>
    </row>
    <row r="141" spans="1:14" x14ac:dyDescent="0.25">
      <c r="A141" s="1">
        <f t="shared" si="9"/>
        <v>0</v>
      </c>
      <c r="B141" s="2">
        <f>IF(C141=0,0,A141&amp;" "&amp;COUNTIF($A$1:$A141,A141))</f>
        <v>0</v>
      </c>
      <c r="C141" s="1">
        <v>0</v>
      </c>
      <c r="H141" s="2">
        <f t="shared" si="8"/>
        <v>0</v>
      </c>
      <c r="I141" s="2">
        <f t="shared" si="8"/>
        <v>0</v>
      </c>
      <c r="J141" s="2">
        <f t="shared" si="8"/>
        <v>0</v>
      </c>
      <c r="K141" s="2">
        <f t="shared" si="8"/>
        <v>0</v>
      </c>
      <c r="L141" s="2">
        <f t="shared" si="8"/>
        <v>0</v>
      </c>
      <c r="M141" s="2">
        <f t="shared" si="8"/>
        <v>0</v>
      </c>
      <c r="N141" s="2">
        <f t="shared" si="8"/>
        <v>0</v>
      </c>
    </row>
    <row r="142" spans="1:14" x14ac:dyDescent="0.25">
      <c r="A142" s="1">
        <f t="shared" si="9"/>
        <v>0</v>
      </c>
      <c r="B142" s="2">
        <f>IF(C142=0,0,A142&amp;" "&amp;COUNTIF($A$1:$A142,A142))</f>
        <v>0</v>
      </c>
      <c r="C142" s="1">
        <v>0</v>
      </c>
      <c r="H142" s="2">
        <f t="shared" si="8"/>
        <v>0</v>
      </c>
      <c r="I142" s="2">
        <f t="shared" si="8"/>
        <v>0</v>
      </c>
      <c r="J142" s="2">
        <f t="shared" si="8"/>
        <v>0</v>
      </c>
      <c r="K142" s="2">
        <f t="shared" si="8"/>
        <v>0</v>
      </c>
      <c r="L142" s="2">
        <f t="shared" si="8"/>
        <v>0</v>
      </c>
      <c r="M142" s="2">
        <f t="shared" si="8"/>
        <v>0</v>
      </c>
      <c r="N142" s="2">
        <f t="shared" si="8"/>
        <v>0</v>
      </c>
    </row>
    <row r="143" spans="1:14" x14ac:dyDescent="0.25">
      <c r="A143" s="1">
        <f t="shared" si="9"/>
        <v>0</v>
      </c>
      <c r="B143" s="2">
        <f>IF(C143=0,0,A143&amp;" "&amp;COUNTIF($A$1:$A143,A143))</f>
        <v>0</v>
      </c>
      <c r="C143" s="1">
        <v>0</v>
      </c>
      <c r="H143" s="2">
        <f t="shared" si="8"/>
        <v>0</v>
      </c>
      <c r="I143" s="2">
        <f t="shared" si="8"/>
        <v>0</v>
      </c>
      <c r="J143" s="2">
        <f t="shared" si="8"/>
        <v>0</v>
      </c>
      <c r="K143" s="2">
        <f t="shared" si="8"/>
        <v>0</v>
      </c>
      <c r="L143" s="2">
        <f t="shared" si="8"/>
        <v>0</v>
      </c>
      <c r="M143" s="2">
        <f t="shared" si="8"/>
        <v>0</v>
      </c>
      <c r="N143" s="2">
        <f t="shared" si="8"/>
        <v>0</v>
      </c>
    </row>
    <row r="144" spans="1:14" x14ac:dyDescent="0.25">
      <c r="A144" s="1">
        <f t="shared" si="9"/>
        <v>0</v>
      </c>
      <c r="B144" s="2">
        <f>IF(C144=0,0,A144&amp;" "&amp;COUNTIF($A$1:$A144,A144))</f>
        <v>0</v>
      </c>
      <c r="C144" s="1">
        <v>0</v>
      </c>
      <c r="H144" s="2">
        <f t="shared" si="8"/>
        <v>0</v>
      </c>
      <c r="I144" s="2">
        <f t="shared" si="8"/>
        <v>0</v>
      </c>
      <c r="J144" s="2">
        <f t="shared" si="8"/>
        <v>0</v>
      </c>
      <c r="K144" s="2">
        <f t="shared" si="8"/>
        <v>0</v>
      </c>
      <c r="L144" s="2">
        <f t="shared" si="8"/>
        <v>0</v>
      </c>
      <c r="M144" s="2">
        <f t="shared" si="8"/>
        <v>0</v>
      </c>
      <c r="N144" s="2">
        <f t="shared" si="8"/>
        <v>0</v>
      </c>
    </row>
    <row r="145" spans="1:14" x14ac:dyDescent="0.25">
      <c r="A145" s="1">
        <f t="shared" si="9"/>
        <v>0</v>
      </c>
      <c r="B145" s="2">
        <f>IF(C145=0,0,A145&amp;" "&amp;COUNTIF($A$1:$A145,A145))</f>
        <v>0</v>
      </c>
      <c r="C145" s="1">
        <v>0</v>
      </c>
      <c r="H145" s="2">
        <f t="shared" si="8"/>
        <v>0</v>
      </c>
      <c r="I145" s="2">
        <f t="shared" si="8"/>
        <v>0</v>
      </c>
      <c r="J145" s="2">
        <f t="shared" si="8"/>
        <v>0</v>
      </c>
      <c r="K145" s="2">
        <f t="shared" si="8"/>
        <v>0</v>
      </c>
      <c r="L145" s="2">
        <f t="shared" si="8"/>
        <v>0</v>
      </c>
      <c r="M145" s="2">
        <f t="shared" si="8"/>
        <v>0</v>
      </c>
      <c r="N145" s="2">
        <f t="shared" si="8"/>
        <v>0</v>
      </c>
    </row>
    <row r="146" spans="1:14" x14ac:dyDescent="0.25">
      <c r="A146" s="1">
        <f t="shared" si="9"/>
        <v>0</v>
      </c>
      <c r="B146" s="2">
        <f>IF(C146=0,0,A146&amp;" "&amp;COUNTIF($A$1:$A146,A146))</f>
        <v>0</v>
      </c>
      <c r="C146" s="1">
        <v>0</v>
      </c>
      <c r="H146" s="2">
        <f t="shared" si="8"/>
        <v>0</v>
      </c>
      <c r="I146" s="2">
        <f t="shared" si="8"/>
        <v>0</v>
      </c>
      <c r="J146" s="2">
        <f t="shared" si="8"/>
        <v>0</v>
      </c>
      <c r="K146" s="2">
        <f t="shared" si="8"/>
        <v>0</v>
      </c>
      <c r="L146" s="2">
        <f t="shared" si="8"/>
        <v>0</v>
      </c>
      <c r="M146" s="2">
        <f t="shared" si="8"/>
        <v>0</v>
      </c>
      <c r="N146" s="2">
        <f t="shared" si="8"/>
        <v>0</v>
      </c>
    </row>
    <row r="147" spans="1:14" x14ac:dyDescent="0.25">
      <c r="A147" s="1">
        <f t="shared" si="9"/>
        <v>0</v>
      </c>
      <c r="B147" s="2">
        <f>IF(C147=0,0,A147&amp;" "&amp;COUNTIF($A$1:$A147,A147))</f>
        <v>0</v>
      </c>
      <c r="C147" s="1">
        <v>0</v>
      </c>
      <c r="H147" s="2">
        <f t="shared" si="8"/>
        <v>0</v>
      </c>
      <c r="I147" s="2">
        <f t="shared" si="8"/>
        <v>0</v>
      </c>
      <c r="J147" s="2">
        <f t="shared" si="8"/>
        <v>0</v>
      </c>
      <c r="K147" s="2">
        <f t="shared" ref="H147:N183" si="10">IF($D147=K$1,$C147*1,0)</f>
        <v>0</v>
      </c>
      <c r="L147" s="2">
        <f t="shared" si="10"/>
        <v>0</v>
      </c>
      <c r="M147" s="2">
        <f t="shared" si="10"/>
        <v>0</v>
      </c>
      <c r="N147" s="2">
        <f t="shared" si="10"/>
        <v>0</v>
      </c>
    </row>
    <row r="148" spans="1:14" x14ac:dyDescent="0.25">
      <c r="A148" s="1">
        <f t="shared" si="9"/>
        <v>0</v>
      </c>
      <c r="B148" s="2">
        <f>IF(C148=0,0,A148&amp;" "&amp;COUNTIF($A$1:$A148,A148))</f>
        <v>0</v>
      </c>
      <c r="C148" s="1">
        <v>0</v>
      </c>
      <c r="H148" s="2">
        <f t="shared" si="10"/>
        <v>0</v>
      </c>
      <c r="I148" s="2">
        <f t="shared" si="10"/>
        <v>0</v>
      </c>
      <c r="J148" s="2">
        <f t="shared" si="10"/>
        <v>0</v>
      </c>
      <c r="K148" s="2">
        <f t="shared" si="10"/>
        <v>0</v>
      </c>
      <c r="L148" s="2">
        <f t="shared" si="10"/>
        <v>0</v>
      </c>
      <c r="M148" s="2">
        <f t="shared" si="10"/>
        <v>0</v>
      </c>
      <c r="N148" s="2">
        <f t="shared" si="10"/>
        <v>0</v>
      </c>
    </row>
    <row r="149" spans="1:14" x14ac:dyDescent="0.25">
      <c r="A149" s="1">
        <f t="shared" si="9"/>
        <v>0</v>
      </c>
      <c r="B149" s="2">
        <f>IF(C149=0,0,A149&amp;" "&amp;COUNTIF($A$1:$A149,A149))</f>
        <v>0</v>
      </c>
      <c r="C149" s="1">
        <v>0</v>
      </c>
      <c r="H149" s="2">
        <f t="shared" si="10"/>
        <v>0</v>
      </c>
      <c r="I149" s="2">
        <f t="shared" si="10"/>
        <v>0</v>
      </c>
      <c r="J149" s="2">
        <f t="shared" si="10"/>
        <v>0</v>
      </c>
      <c r="K149" s="2">
        <f t="shared" si="10"/>
        <v>0</v>
      </c>
      <c r="L149" s="2">
        <f t="shared" si="10"/>
        <v>0</v>
      </c>
      <c r="M149" s="2">
        <f t="shared" si="10"/>
        <v>0</v>
      </c>
      <c r="N149" s="2">
        <f t="shared" si="10"/>
        <v>0</v>
      </c>
    </row>
    <row r="150" spans="1:14" x14ac:dyDescent="0.25">
      <c r="A150" s="1">
        <f t="shared" si="9"/>
        <v>0</v>
      </c>
      <c r="B150" s="2">
        <f>IF(C150=0,0,A150&amp;" "&amp;COUNTIF($A$1:$A150,A150))</f>
        <v>0</v>
      </c>
      <c r="C150" s="1">
        <v>0</v>
      </c>
      <c r="H150" s="2">
        <f t="shared" si="10"/>
        <v>0</v>
      </c>
      <c r="I150" s="2">
        <f t="shared" si="10"/>
        <v>0</v>
      </c>
      <c r="J150" s="2">
        <f t="shared" si="10"/>
        <v>0</v>
      </c>
      <c r="K150" s="2">
        <f t="shared" si="10"/>
        <v>0</v>
      </c>
      <c r="L150" s="2">
        <f t="shared" si="10"/>
        <v>0</v>
      </c>
      <c r="M150" s="2">
        <f t="shared" si="10"/>
        <v>0</v>
      </c>
      <c r="N150" s="2">
        <f t="shared" si="10"/>
        <v>0</v>
      </c>
    </row>
    <row r="151" spans="1:14" x14ac:dyDescent="0.25">
      <c r="A151" s="1">
        <f t="shared" si="9"/>
        <v>0</v>
      </c>
      <c r="B151" s="2">
        <f>IF(C151=0,0,A151&amp;" "&amp;COUNTIF($A$1:$A151,A151))</f>
        <v>0</v>
      </c>
      <c r="C151" s="1">
        <v>0</v>
      </c>
      <c r="H151" s="2">
        <f t="shared" si="10"/>
        <v>0</v>
      </c>
      <c r="I151" s="2">
        <f t="shared" si="10"/>
        <v>0</v>
      </c>
      <c r="J151" s="2">
        <f t="shared" si="10"/>
        <v>0</v>
      </c>
      <c r="K151" s="2">
        <f t="shared" si="10"/>
        <v>0</v>
      </c>
      <c r="L151" s="2">
        <f t="shared" si="10"/>
        <v>0</v>
      </c>
      <c r="M151" s="2">
        <f t="shared" si="10"/>
        <v>0</v>
      </c>
      <c r="N151" s="2">
        <f t="shared" si="10"/>
        <v>0</v>
      </c>
    </row>
    <row r="152" spans="1:14" x14ac:dyDescent="0.25">
      <c r="A152" s="1">
        <f t="shared" si="9"/>
        <v>0</v>
      </c>
      <c r="B152" s="2">
        <f>IF(C152=0,0,A152&amp;" "&amp;COUNTIF($A$1:$A152,A152))</f>
        <v>0</v>
      </c>
      <c r="C152" s="1">
        <v>0</v>
      </c>
      <c r="H152" s="2">
        <f t="shared" si="10"/>
        <v>0</v>
      </c>
      <c r="I152" s="2">
        <f t="shared" si="10"/>
        <v>0</v>
      </c>
      <c r="J152" s="2">
        <f t="shared" si="10"/>
        <v>0</v>
      </c>
      <c r="K152" s="2">
        <f t="shared" si="10"/>
        <v>0</v>
      </c>
      <c r="L152" s="2">
        <f t="shared" si="10"/>
        <v>0</v>
      </c>
      <c r="M152" s="2">
        <f t="shared" si="10"/>
        <v>0</v>
      </c>
      <c r="N152" s="2">
        <f t="shared" si="10"/>
        <v>0</v>
      </c>
    </row>
    <row r="153" spans="1:14" x14ac:dyDescent="0.25">
      <c r="A153" s="1">
        <f t="shared" si="9"/>
        <v>0</v>
      </c>
      <c r="B153" s="2">
        <f>IF(C153=0,0,A153&amp;" "&amp;COUNTIF($A$1:$A153,A153))</f>
        <v>0</v>
      </c>
      <c r="C153" s="1">
        <v>0</v>
      </c>
      <c r="H153" s="2">
        <f t="shared" si="10"/>
        <v>0</v>
      </c>
      <c r="I153" s="2">
        <f t="shared" si="10"/>
        <v>0</v>
      </c>
      <c r="J153" s="2">
        <f t="shared" si="10"/>
        <v>0</v>
      </c>
      <c r="K153" s="2">
        <f t="shared" si="10"/>
        <v>0</v>
      </c>
      <c r="L153" s="2">
        <f t="shared" si="10"/>
        <v>0</v>
      </c>
      <c r="M153" s="2">
        <f t="shared" si="10"/>
        <v>0</v>
      </c>
      <c r="N153" s="2">
        <f t="shared" si="10"/>
        <v>0</v>
      </c>
    </row>
    <row r="154" spans="1:14" x14ac:dyDescent="0.25">
      <c r="A154" s="1">
        <f t="shared" si="9"/>
        <v>0</v>
      </c>
      <c r="B154" s="2">
        <f>IF(C154=0,0,A154&amp;" "&amp;COUNTIF($A$1:$A154,A154))</f>
        <v>0</v>
      </c>
      <c r="C154" s="1">
        <v>0</v>
      </c>
      <c r="H154" s="2">
        <f t="shared" si="10"/>
        <v>0</v>
      </c>
      <c r="I154" s="2">
        <f t="shared" si="10"/>
        <v>0</v>
      </c>
      <c r="J154" s="2">
        <f t="shared" si="10"/>
        <v>0</v>
      </c>
      <c r="K154" s="2">
        <f t="shared" si="10"/>
        <v>0</v>
      </c>
      <c r="L154" s="2">
        <f t="shared" si="10"/>
        <v>0</v>
      </c>
      <c r="M154" s="2">
        <f t="shared" si="10"/>
        <v>0</v>
      </c>
      <c r="N154" s="2">
        <f t="shared" si="10"/>
        <v>0</v>
      </c>
    </row>
    <row r="155" spans="1:14" x14ac:dyDescent="0.25">
      <c r="A155" s="1">
        <f t="shared" si="9"/>
        <v>0</v>
      </c>
      <c r="B155" s="2">
        <f>IF(C155=0,0,A155&amp;" "&amp;COUNTIF($A$1:$A155,A155))</f>
        <v>0</v>
      </c>
      <c r="C155" s="1">
        <v>0</v>
      </c>
      <c r="H155" s="2">
        <f t="shared" si="10"/>
        <v>0</v>
      </c>
      <c r="I155" s="2">
        <f t="shared" si="10"/>
        <v>0</v>
      </c>
      <c r="J155" s="2">
        <f t="shared" si="10"/>
        <v>0</v>
      </c>
      <c r="K155" s="2">
        <f t="shared" si="10"/>
        <v>0</v>
      </c>
      <c r="L155" s="2">
        <f t="shared" si="10"/>
        <v>0</v>
      </c>
      <c r="M155" s="2">
        <f t="shared" si="10"/>
        <v>0</v>
      </c>
      <c r="N155" s="2">
        <f t="shared" si="10"/>
        <v>0</v>
      </c>
    </row>
    <row r="156" spans="1:14" x14ac:dyDescent="0.25">
      <c r="A156" s="1">
        <f t="shared" si="9"/>
        <v>0</v>
      </c>
      <c r="B156" s="2">
        <f>IF(C156=0,0,A156&amp;" "&amp;COUNTIF($A$1:$A156,A156))</f>
        <v>0</v>
      </c>
      <c r="C156" s="1">
        <v>0</v>
      </c>
      <c r="H156" s="2">
        <f t="shared" si="10"/>
        <v>0</v>
      </c>
      <c r="I156" s="2">
        <f t="shared" si="10"/>
        <v>0</v>
      </c>
      <c r="J156" s="2">
        <f t="shared" si="10"/>
        <v>0</v>
      </c>
      <c r="K156" s="2">
        <f t="shared" si="10"/>
        <v>0</v>
      </c>
      <c r="L156" s="2">
        <f t="shared" si="10"/>
        <v>0</v>
      </c>
      <c r="M156" s="2">
        <f t="shared" si="10"/>
        <v>0</v>
      </c>
      <c r="N156" s="2">
        <f t="shared" si="10"/>
        <v>0</v>
      </c>
    </row>
    <row r="157" spans="1:14" x14ac:dyDescent="0.25">
      <c r="A157" s="1">
        <f t="shared" si="9"/>
        <v>0</v>
      </c>
      <c r="B157" s="2">
        <f>IF(C157=0,0,A157&amp;" "&amp;COUNTIF($A$1:$A157,A157))</f>
        <v>0</v>
      </c>
      <c r="C157" s="1">
        <v>0</v>
      </c>
      <c r="H157" s="2">
        <f t="shared" si="10"/>
        <v>0</v>
      </c>
      <c r="I157" s="2">
        <f t="shared" si="10"/>
        <v>0</v>
      </c>
      <c r="J157" s="2">
        <f t="shared" si="10"/>
        <v>0</v>
      </c>
      <c r="K157" s="2">
        <f t="shared" si="10"/>
        <v>0</v>
      </c>
      <c r="L157" s="2">
        <f t="shared" si="10"/>
        <v>0</v>
      </c>
      <c r="M157" s="2">
        <f t="shared" si="10"/>
        <v>0</v>
      </c>
      <c r="N157" s="2">
        <f t="shared" si="10"/>
        <v>0</v>
      </c>
    </row>
    <row r="158" spans="1:14" x14ac:dyDescent="0.25">
      <c r="A158" s="1">
        <f t="shared" si="9"/>
        <v>0</v>
      </c>
      <c r="B158" s="2">
        <f>IF(C158=0,0,A158&amp;" "&amp;COUNTIF($A$1:$A158,A158))</f>
        <v>0</v>
      </c>
      <c r="C158" s="1">
        <v>0</v>
      </c>
      <c r="H158" s="2">
        <f t="shared" si="10"/>
        <v>0</v>
      </c>
      <c r="I158" s="2">
        <f t="shared" si="10"/>
        <v>0</v>
      </c>
      <c r="J158" s="2">
        <f t="shared" si="10"/>
        <v>0</v>
      </c>
      <c r="K158" s="2">
        <f t="shared" si="10"/>
        <v>0</v>
      </c>
      <c r="L158" s="2">
        <f t="shared" si="10"/>
        <v>0</v>
      </c>
      <c r="M158" s="2">
        <f t="shared" si="10"/>
        <v>0</v>
      </c>
      <c r="N158" s="2">
        <f t="shared" si="10"/>
        <v>0</v>
      </c>
    </row>
    <row r="159" spans="1:14" x14ac:dyDescent="0.25">
      <c r="A159" s="1">
        <f t="shared" si="9"/>
        <v>0</v>
      </c>
      <c r="B159" s="2">
        <f>IF(C159=0,0,A159&amp;" "&amp;COUNTIF($A$1:$A159,A159))</f>
        <v>0</v>
      </c>
      <c r="C159" s="1">
        <v>0</v>
      </c>
      <c r="H159" s="2">
        <f t="shared" si="10"/>
        <v>0</v>
      </c>
      <c r="I159" s="2">
        <f t="shared" si="10"/>
        <v>0</v>
      </c>
      <c r="J159" s="2">
        <f t="shared" si="10"/>
        <v>0</v>
      </c>
      <c r="K159" s="2">
        <f t="shared" si="10"/>
        <v>0</v>
      </c>
      <c r="L159" s="2">
        <f t="shared" si="10"/>
        <v>0</v>
      </c>
      <c r="M159" s="2">
        <f t="shared" si="10"/>
        <v>0</v>
      </c>
      <c r="N159" s="2">
        <f t="shared" si="10"/>
        <v>0</v>
      </c>
    </row>
    <row r="160" spans="1:14" x14ac:dyDescent="0.25">
      <c r="A160" s="1">
        <f t="shared" si="9"/>
        <v>0</v>
      </c>
      <c r="B160" s="2">
        <f>IF(C160=0,0,A160&amp;" "&amp;COUNTIF($A$1:$A160,A160))</f>
        <v>0</v>
      </c>
      <c r="C160" s="1">
        <v>0</v>
      </c>
      <c r="H160" s="2">
        <f t="shared" si="10"/>
        <v>0</v>
      </c>
      <c r="I160" s="2">
        <f t="shared" si="10"/>
        <v>0</v>
      </c>
      <c r="J160" s="2">
        <f t="shared" si="10"/>
        <v>0</v>
      </c>
      <c r="K160" s="2">
        <f t="shared" si="10"/>
        <v>0</v>
      </c>
      <c r="L160" s="2">
        <f t="shared" si="10"/>
        <v>0</v>
      </c>
      <c r="M160" s="2">
        <f t="shared" si="10"/>
        <v>0</v>
      </c>
      <c r="N160" s="2">
        <f t="shared" si="10"/>
        <v>0</v>
      </c>
    </row>
    <row r="161" spans="1:14" x14ac:dyDescent="0.25">
      <c r="A161" s="1">
        <f t="shared" si="9"/>
        <v>0</v>
      </c>
      <c r="B161" s="2">
        <f>IF(C161=0,0,A161&amp;" "&amp;COUNTIF($A$1:$A161,A161))</f>
        <v>0</v>
      </c>
      <c r="C161" s="1">
        <v>0</v>
      </c>
      <c r="H161" s="2">
        <f t="shared" si="10"/>
        <v>0</v>
      </c>
      <c r="I161" s="2">
        <f t="shared" si="10"/>
        <v>0</v>
      </c>
      <c r="J161" s="2">
        <f t="shared" si="10"/>
        <v>0</v>
      </c>
      <c r="K161" s="2">
        <f t="shared" si="10"/>
        <v>0</v>
      </c>
      <c r="L161" s="2">
        <f t="shared" si="10"/>
        <v>0</v>
      </c>
      <c r="M161" s="2">
        <f t="shared" si="10"/>
        <v>0</v>
      </c>
      <c r="N161" s="2">
        <f t="shared" si="10"/>
        <v>0</v>
      </c>
    </row>
    <row r="162" spans="1:14" x14ac:dyDescent="0.25">
      <c r="A162" s="1">
        <f t="shared" si="9"/>
        <v>0</v>
      </c>
      <c r="B162" s="2">
        <f>IF(C162=0,0,A162&amp;" "&amp;COUNTIF($A$1:$A162,A162))</f>
        <v>0</v>
      </c>
      <c r="C162" s="1">
        <v>0</v>
      </c>
      <c r="H162" s="2">
        <f t="shared" si="10"/>
        <v>0</v>
      </c>
      <c r="I162" s="2">
        <f t="shared" si="10"/>
        <v>0</v>
      </c>
      <c r="J162" s="2">
        <f t="shared" si="10"/>
        <v>0</v>
      </c>
      <c r="K162" s="2">
        <f t="shared" si="10"/>
        <v>0</v>
      </c>
      <c r="L162" s="2">
        <f t="shared" si="10"/>
        <v>0</v>
      </c>
      <c r="M162" s="2">
        <f t="shared" si="10"/>
        <v>0</v>
      </c>
      <c r="N162" s="2">
        <f t="shared" si="10"/>
        <v>0</v>
      </c>
    </row>
    <row r="163" spans="1:14" x14ac:dyDescent="0.25">
      <c r="A163" s="1">
        <f t="shared" si="9"/>
        <v>0</v>
      </c>
      <c r="B163" s="2">
        <f>IF(C163=0,0,A163&amp;" "&amp;COUNTIF($A$1:$A163,A163))</f>
        <v>0</v>
      </c>
      <c r="C163" s="1">
        <v>0</v>
      </c>
      <c r="H163" s="2">
        <f t="shared" si="10"/>
        <v>0</v>
      </c>
      <c r="I163" s="2">
        <f t="shared" si="10"/>
        <v>0</v>
      </c>
      <c r="J163" s="2">
        <f t="shared" si="10"/>
        <v>0</v>
      </c>
      <c r="K163" s="2">
        <f t="shared" si="10"/>
        <v>0</v>
      </c>
      <c r="L163" s="2">
        <f t="shared" si="10"/>
        <v>0</v>
      </c>
      <c r="M163" s="2">
        <f t="shared" si="10"/>
        <v>0</v>
      </c>
      <c r="N163" s="2">
        <f t="shared" si="10"/>
        <v>0</v>
      </c>
    </row>
    <row r="164" spans="1:14" x14ac:dyDescent="0.25">
      <c r="A164" s="1">
        <f t="shared" si="9"/>
        <v>0</v>
      </c>
      <c r="B164" s="2">
        <f>IF(C164=0,0,A164&amp;" "&amp;COUNTIF($A$1:$A164,A164))</f>
        <v>0</v>
      </c>
      <c r="C164" s="1">
        <v>0</v>
      </c>
      <c r="H164" s="2">
        <f t="shared" si="10"/>
        <v>0</v>
      </c>
      <c r="I164" s="2">
        <f t="shared" si="10"/>
        <v>0</v>
      </c>
      <c r="J164" s="2">
        <f t="shared" si="10"/>
        <v>0</v>
      </c>
      <c r="K164" s="2">
        <f t="shared" si="10"/>
        <v>0</v>
      </c>
      <c r="L164" s="2">
        <f t="shared" si="10"/>
        <v>0</v>
      </c>
      <c r="M164" s="2">
        <f t="shared" si="10"/>
        <v>0</v>
      </c>
      <c r="N164" s="2">
        <f t="shared" si="10"/>
        <v>0</v>
      </c>
    </row>
    <row r="165" spans="1:14" x14ac:dyDescent="0.25">
      <c r="A165" s="1">
        <f t="shared" si="9"/>
        <v>0</v>
      </c>
      <c r="B165" s="2">
        <f>IF(C165=0,0,A165&amp;" "&amp;COUNTIF($A$1:$A165,A165))</f>
        <v>0</v>
      </c>
      <c r="C165" s="1">
        <v>0</v>
      </c>
      <c r="H165" s="2">
        <f t="shared" si="10"/>
        <v>0</v>
      </c>
      <c r="I165" s="2">
        <f t="shared" si="10"/>
        <v>0</v>
      </c>
      <c r="J165" s="2">
        <f t="shared" si="10"/>
        <v>0</v>
      </c>
      <c r="K165" s="2">
        <f t="shared" si="10"/>
        <v>0</v>
      </c>
      <c r="L165" s="2">
        <f t="shared" si="10"/>
        <v>0</v>
      </c>
      <c r="M165" s="2">
        <f t="shared" si="10"/>
        <v>0</v>
      </c>
      <c r="N165" s="2">
        <f t="shared" si="10"/>
        <v>0</v>
      </c>
    </row>
    <row r="166" spans="1:14" x14ac:dyDescent="0.25">
      <c r="A166" s="1">
        <f t="shared" si="9"/>
        <v>0</v>
      </c>
      <c r="B166" s="2">
        <f>IF(C166=0,0,A166&amp;" "&amp;COUNTIF($A$1:$A166,A166))</f>
        <v>0</v>
      </c>
      <c r="C166" s="1">
        <v>0</v>
      </c>
      <c r="H166" s="2">
        <f t="shared" si="10"/>
        <v>0</v>
      </c>
      <c r="I166" s="2">
        <f t="shared" si="10"/>
        <v>0</v>
      </c>
      <c r="J166" s="2">
        <f t="shared" si="10"/>
        <v>0</v>
      </c>
      <c r="K166" s="2">
        <f t="shared" si="10"/>
        <v>0</v>
      </c>
      <c r="L166" s="2">
        <f t="shared" si="10"/>
        <v>0</v>
      </c>
      <c r="M166" s="2">
        <f t="shared" si="10"/>
        <v>0</v>
      </c>
      <c r="N166" s="2">
        <f t="shared" si="10"/>
        <v>0</v>
      </c>
    </row>
    <row r="167" spans="1:14" x14ac:dyDescent="0.25">
      <c r="A167" s="1">
        <f t="shared" si="9"/>
        <v>0</v>
      </c>
      <c r="B167" s="2">
        <f>IF(C167=0,0,A167&amp;" "&amp;COUNTIF($A$1:$A167,A167))</f>
        <v>0</v>
      </c>
      <c r="C167" s="1">
        <v>0</v>
      </c>
      <c r="H167" s="2">
        <f t="shared" si="10"/>
        <v>0</v>
      </c>
      <c r="I167" s="2">
        <f t="shared" si="10"/>
        <v>0</v>
      </c>
      <c r="J167" s="2">
        <f t="shared" si="10"/>
        <v>0</v>
      </c>
      <c r="K167" s="2">
        <f t="shared" si="10"/>
        <v>0</v>
      </c>
      <c r="L167" s="2">
        <f t="shared" si="10"/>
        <v>0</v>
      </c>
      <c r="M167" s="2">
        <f t="shared" si="10"/>
        <v>0</v>
      </c>
      <c r="N167" s="2">
        <f t="shared" si="10"/>
        <v>0</v>
      </c>
    </row>
    <row r="168" spans="1:14" x14ac:dyDescent="0.25">
      <c r="A168" s="1">
        <f t="shared" si="9"/>
        <v>0</v>
      </c>
      <c r="B168" s="2">
        <f>IF(C168=0,0,A168&amp;" "&amp;COUNTIF($A$1:$A168,A168))</f>
        <v>0</v>
      </c>
      <c r="C168" s="1">
        <v>0</v>
      </c>
      <c r="H168" s="2">
        <f t="shared" si="10"/>
        <v>0</v>
      </c>
      <c r="I168" s="2">
        <f t="shared" si="10"/>
        <v>0</v>
      </c>
      <c r="J168" s="2">
        <f t="shared" si="10"/>
        <v>0</v>
      </c>
      <c r="K168" s="2">
        <f t="shared" si="10"/>
        <v>0</v>
      </c>
      <c r="L168" s="2">
        <f t="shared" si="10"/>
        <v>0</v>
      </c>
      <c r="M168" s="2">
        <f t="shared" si="10"/>
        <v>0</v>
      </c>
      <c r="N168" s="2">
        <f t="shared" si="10"/>
        <v>0</v>
      </c>
    </row>
    <row r="169" spans="1:14" x14ac:dyDescent="0.25">
      <c r="A169" s="1">
        <f t="shared" si="9"/>
        <v>0</v>
      </c>
      <c r="B169" s="2">
        <f>IF(C169=0,0,A169&amp;" "&amp;COUNTIF($A$1:$A169,A169))</f>
        <v>0</v>
      </c>
      <c r="C169" s="1">
        <v>0</v>
      </c>
      <c r="H169" s="2">
        <f t="shared" si="10"/>
        <v>0</v>
      </c>
      <c r="I169" s="2">
        <f t="shared" si="10"/>
        <v>0</v>
      </c>
      <c r="J169" s="2">
        <f t="shared" si="10"/>
        <v>0</v>
      </c>
      <c r="K169" s="2">
        <f t="shared" si="10"/>
        <v>0</v>
      </c>
      <c r="L169" s="2">
        <f t="shared" si="10"/>
        <v>0</v>
      </c>
      <c r="M169" s="2">
        <f t="shared" si="10"/>
        <v>0</v>
      </c>
      <c r="N169" s="2">
        <f t="shared" si="10"/>
        <v>0</v>
      </c>
    </row>
    <row r="170" spans="1:14" x14ac:dyDescent="0.25">
      <c r="A170" s="1">
        <f t="shared" si="9"/>
        <v>0</v>
      </c>
      <c r="B170" s="2">
        <f>IF(C170=0,0,A170&amp;" "&amp;COUNTIF($A$1:$A170,A170))</f>
        <v>0</v>
      </c>
      <c r="C170" s="1">
        <v>0</v>
      </c>
      <c r="H170" s="2">
        <f t="shared" si="10"/>
        <v>0</v>
      </c>
      <c r="I170" s="2">
        <f t="shared" si="10"/>
        <v>0</v>
      </c>
      <c r="J170" s="2">
        <f t="shared" si="10"/>
        <v>0</v>
      </c>
      <c r="K170" s="2">
        <f t="shared" si="10"/>
        <v>0</v>
      </c>
      <c r="L170" s="2">
        <f t="shared" si="10"/>
        <v>0</v>
      </c>
      <c r="M170" s="2">
        <f t="shared" si="10"/>
        <v>0</v>
      </c>
      <c r="N170" s="2">
        <f t="shared" si="10"/>
        <v>0</v>
      </c>
    </row>
    <row r="171" spans="1:14" x14ac:dyDescent="0.25">
      <c r="A171" s="1">
        <f t="shared" si="9"/>
        <v>0</v>
      </c>
      <c r="B171" s="2">
        <f>IF(C171=0,0,A171&amp;" "&amp;COUNTIF($A$1:$A171,A171))</f>
        <v>0</v>
      </c>
      <c r="C171" s="1">
        <v>0</v>
      </c>
      <c r="H171" s="2">
        <f t="shared" si="10"/>
        <v>0</v>
      </c>
      <c r="I171" s="2">
        <f t="shared" si="10"/>
        <v>0</v>
      </c>
      <c r="J171" s="2">
        <f t="shared" si="10"/>
        <v>0</v>
      </c>
      <c r="K171" s="2">
        <f t="shared" si="10"/>
        <v>0</v>
      </c>
      <c r="L171" s="2">
        <f t="shared" si="10"/>
        <v>0</v>
      </c>
      <c r="M171" s="2">
        <f t="shared" si="10"/>
        <v>0</v>
      </c>
      <c r="N171" s="2">
        <f t="shared" si="10"/>
        <v>0</v>
      </c>
    </row>
    <row r="172" spans="1:14" x14ac:dyDescent="0.25">
      <c r="A172" s="1">
        <f t="shared" si="9"/>
        <v>0</v>
      </c>
      <c r="B172" s="2">
        <f>IF(C172=0,0,A172&amp;" "&amp;COUNTIF($A$1:$A172,A172))</f>
        <v>0</v>
      </c>
      <c r="C172" s="1">
        <v>0</v>
      </c>
      <c r="H172" s="2">
        <f t="shared" si="10"/>
        <v>0</v>
      </c>
      <c r="I172" s="2">
        <f t="shared" si="10"/>
        <v>0</v>
      </c>
      <c r="J172" s="2">
        <f t="shared" si="10"/>
        <v>0</v>
      </c>
      <c r="K172" s="2">
        <f t="shared" si="10"/>
        <v>0</v>
      </c>
      <c r="L172" s="2">
        <f t="shared" si="10"/>
        <v>0</v>
      </c>
      <c r="M172" s="2">
        <f t="shared" si="10"/>
        <v>0</v>
      </c>
      <c r="N172" s="2">
        <f t="shared" si="10"/>
        <v>0</v>
      </c>
    </row>
    <row r="173" spans="1:14" x14ac:dyDescent="0.25">
      <c r="A173" s="1">
        <f t="shared" si="9"/>
        <v>0</v>
      </c>
      <c r="B173" s="2">
        <f>IF(C173=0,0,A173&amp;" "&amp;COUNTIF($A$1:$A173,A173))</f>
        <v>0</v>
      </c>
      <c r="C173" s="1">
        <v>0</v>
      </c>
      <c r="H173" s="2">
        <f t="shared" si="10"/>
        <v>0</v>
      </c>
      <c r="I173" s="2">
        <f t="shared" si="10"/>
        <v>0</v>
      </c>
      <c r="J173" s="2">
        <f t="shared" si="10"/>
        <v>0</v>
      </c>
      <c r="K173" s="2">
        <f t="shared" si="10"/>
        <v>0</v>
      </c>
      <c r="L173" s="2">
        <f t="shared" si="10"/>
        <v>0</v>
      </c>
      <c r="M173" s="2">
        <f t="shared" si="10"/>
        <v>0</v>
      </c>
      <c r="N173" s="2">
        <f t="shared" si="10"/>
        <v>0</v>
      </c>
    </row>
    <row r="174" spans="1:14" x14ac:dyDescent="0.25">
      <c r="A174" s="1">
        <f t="shared" si="9"/>
        <v>0</v>
      </c>
      <c r="B174" s="2">
        <f>IF(C174=0,0,A174&amp;" "&amp;COUNTIF($A$1:$A174,A174))</f>
        <v>0</v>
      </c>
      <c r="C174" s="1">
        <v>0</v>
      </c>
      <c r="H174" s="2">
        <f t="shared" si="10"/>
        <v>0</v>
      </c>
      <c r="I174" s="2">
        <f t="shared" si="10"/>
        <v>0</v>
      </c>
      <c r="J174" s="2">
        <f t="shared" si="10"/>
        <v>0</v>
      </c>
      <c r="K174" s="2">
        <f t="shared" si="10"/>
        <v>0</v>
      </c>
      <c r="L174" s="2">
        <f t="shared" si="10"/>
        <v>0</v>
      </c>
      <c r="M174" s="2">
        <f t="shared" si="10"/>
        <v>0</v>
      </c>
      <c r="N174" s="2">
        <f t="shared" si="10"/>
        <v>0</v>
      </c>
    </row>
    <row r="175" spans="1:14" x14ac:dyDescent="0.25">
      <c r="A175" s="1">
        <f t="shared" si="9"/>
        <v>0</v>
      </c>
      <c r="B175" s="2">
        <f>IF(C175=0,0,A175&amp;" "&amp;COUNTIF($A$1:$A175,A175))</f>
        <v>0</v>
      </c>
      <c r="C175" s="1">
        <v>0</v>
      </c>
      <c r="H175" s="2">
        <f t="shared" si="10"/>
        <v>0</v>
      </c>
      <c r="I175" s="2">
        <f t="shared" si="10"/>
        <v>0</v>
      </c>
      <c r="J175" s="2">
        <f t="shared" si="10"/>
        <v>0</v>
      </c>
      <c r="K175" s="2">
        <f t="shared" si="10"/>
        <v>0</v>
      </c>
      <c r="L175" s="2">
        <f t="shared" si="10"/>
        <v>0</v>
      </c>
      <c r="M175" s="2">
        <f t="shared" si="10"/>
        <v>0</v>
      </c>
      <c r="N175" s="2">
        <f t="shared" si="10"/>
        <v>0</v>
      </c>
    </row>
    <row r="176" spans="1:14" x14ac:dyDescent="0.25">
      <c r="A176" s="1">
        <f t="shared" si="9"/>
        <v>0</v>
      </c>
      <c r="B176" s="2">
        <f>IF(C176=0,0,A176&amp;" "&amp;COUNTIF($A$1:$A176,A176))</f>
        <v>0</v>
      </c>
      <c r="C176" s="1">
        <v>0</v>
      </c>
      <c r="H176" s="2">
        <f t="shared" si="10"/>
        <v>0</v>
      </c>
      <c r="I176" s="2">
        <f t="shared" si="10"/>
        <v>0</v>
      </c>
      <c r="J176" s="2">
        <f t="shared" si="10"/>
        <v>0</v>
      </c>
      <c r="K176" s="2">
        <f t="shared" si="10"/>
        <v>0</v>
      </c>
      <c r="L176" s="2">
        <f t="shared" si="10"/>
        <v>0</v>
      </c>
      <c r="M176" s="2">
        <f t="shared" si="10"/>
        <v>0</v>
      </c>
      <c r="N176" s="2">
        <f t="shared" si="10"/>
        <v>0</v>
      </c>
    </row>
    <row r="177" spans="1:14" x14ac:dyDescent="0.25">
      <c r="A177" s="1">
        <f t="shared" si="9"/>
        <v>0</v>
      </c>
      <c r="B177" s="2">
        <f>IF(C177=0,0,A177&amp;" "&amp;COUNTIF($A$1:$A177,A177))</f>
        <v>0</v>
      </c>
      <c r="C177" s="1">
        <v>0</v>
      </c>
      <c r="H177" s="2">
        <f t="shared" si="10"/>
        <v>0</v>
      </c>
      <c r="I177" s="2">
        <f t="shared" si="10"/>
        <v>0</v>
      </c>
      <c r="J177" s="2">
        <f t="shared" si="10"/>
        <v>0</v>
      </c>
      <c r="K177" s="2">
        <f t="shared" si="10"/>
        <v>0</v>
      </c>
      <c r="L177" s="2">
        <f t="shared" si="10"/>
        <v>0</v>
      </c>
      <c r="M177" s="2">
        <f t="shared" si="10"/>
        <v>0</v>
      </c>
      <c r="N177" s="2">
        <f t="shared" si="10"/>
        <v>0</v>
      </c>
    </row>
    <row r="178" spans="1:14" x14ac:dyDescent="0.25">
      <c r="A178" s="1">
        <f t="shared" si="9"/>
        <v>0</v>
      </c>
      <c r="B178" s="2">
        <f>IF(C178=0,0,A178&amp;" "&amp;COUNTIF($A$1:$A178,A178))</f>
        <v>0</v>
      </c>
      <c r="C178" s="1">
        <v>0</v>
      </c>
      <c r="H178" s="2">
        <f t="shared" si="10"/>
        <v>0</v>
      </c>
      <c r="I178" s="2">
        <f t="shared" si="10"/>
        <v>0</v>
      </c>
      <c r="J178" s="2">
        <f t="shared" si="10"/>
        <v>0</v>
      </c>
      <c r="K178" s="2">
        <f t="shared" si="10"/>
        <v>0</v>
      </c>
      <c r="L178" s="2">
        <f t="shared" si="10"/>
        <v>0</v>
      </c>
      <c r="M178" s="2">
        <f t="shared" si="10"/>
        <v>0</v>
      </c>
      <c r="N178" s="2">
        <f t="shared" si="10"/>
        <v>0</v>
      </c>
    </row>
    <row r="179" spans="1:14" x14ac:dyDescent="0.25">
      <c r="A179" s="1">
        <f t="shared" si="9"/>
        <v>0</v>
      </c>
      <c r="B179" s="2">
        <f>IF(C179=0,0,A179&amp;" "&amp;COUNTIF($A$1:$A179,A179))</f>
        <v>0</v>
      </c>
      <c r="C179" s="1">
        <v>0</v>
      </c>
      <c r="H179" s="2">
        <f t="shared" si="10"/>
        <v>0</v>
      </c>
      <c r="I179" s="2">
        <f t="shared" si="10"/>
        <v>0</v>
      </c>
      <c r="J179" s="2">
        <f t="shared" si="10"/>
        <v>0</v>
      </c>
      <c r="K179" s="2">
        <f t="shared" si="10"/>
        <v>0</v>
      </c>
      <c r="L179" s="2">
        <f t="shared" si="10"/>
        <v>0</v>
      </c>
      <c r="M179" s="2">
        <f t="shared" si="10"/>
        <v>0</v>
      </c>
      <c r="N179" s="2">
        <f t="shared" si="10"/>
        <v>0</v>
      </c>
    </row>
    <row r="180" spans="1:14" x14ac:dyDescent="0.25">
      <c r="A180" s="1">
        <f t="shared" si="9"/>
        <v>0</v>
      </c>
      <c r="B180" s="2">
        <f>IF(C180=0,0,A180&amp;" "&amp;COUNTIF($A$1:$A180,A180))</f>
        <v>0</v>
      </c>
      <c r="C180" s="1">
        <v>0</v>
      </c>
      <c r="H180" s="2">
        <f t="shared" si="10"/>
        <v>0</v>
      </c>
      <c r="I180" s="2">
        <f t="shared" si="10"/>
        <v>0</v>
      </c>
      <c r="J180" s="2">
        <f t="shared" si="10"/>
        <v>0</v>
      </c>
      <c r="K180" s="2">
        <f t="shared" si="10"/>
        <v>0</v>
      </c>
      <c r="L180" s="2">
        <f t="shared" si="10"/>
        <v>0</v>
      </c>
      <c r="M180" s="2">
        <f t="shared" si="10"/>
        <v>0</v>
      </c>
      <c r="N180" s="2">
        <f t="shared" si="10"/>
        <v>0</v>
      </c>
    </row>
    <row r="181" spans="1:14" x14ac:dyDescent="0.25">
      <c r="A181" s="1">
        <f t="shared" si="9"/>
        <v>0</v>
      </c>
      <c r="B181" s="2">
        <f>IF(C181=0,0,A181&amp;" "&amp;COUNTIF($A$1:$A181,A181))</f>
        <v>0</v>
      </c>
      <c r="C181" s="1">
        <v>0</v>
      </c>
      <c r="H181" s="2">
        <f t="shared" si="10"/>
        <v>0</v>
      </c>
      <c r="I181" s="2">
        <f t="shared" si="10"/>
        <v>0</v>
      </c>
      <c r="J181" s="2">
        <f t="shared" si="10"/>
        <v>0</v>
      </c>
      <c r="K181" s="2">
        <f t="shared" si="10"/>
        <v>0</v>
      </c>
      <c r="L181" s="2">
        <f t="shared" si="10"/>
        <v>0</v>
      </c>
      <c r="M181" s="2">
        <f t="shared" si="10"/>
        <v>0</v>
      </c>
      <c r="N181" s="2">
        <f t="shared" si="10"/>
        <v>0</v>
      </c>
    </row>
    <row r="182" spans="1:14" x14ac:dyDescent="0.25">
      <c r="A182" s="1">
        <f t="shared" si="9"/>
        <v>0</v>
      </c>
      <c r="B182" s="2">
        <f>IF(C182=0,0,A182&amp;" "&amp;COUNTIF($A$1:$A182,A182))</f>
        <v>0</v>
      </c>
      <c r="C182" s="1">
        <v>0</v>
      </c>
      <c r="H182" s="2">
        <f t="shared" si="10"/>
        <v>0</v>
      </c>
      <c r="I182" s="2">
        <f t="shared" si="10"/>
        <v>0</v>
      </c>
      <c r="J182" s="2">
        <f t="shared" si="10"/>
        <v>0</v>
      </c>
      <c r="K182" s="2">
        <f t="shared" si="10"/>
        <v>0</v>
      </c>
      <c r="L182" s="2">
        <f t="shared" si="10"/>
        <v>0</v>
      </c>
      <c r="M182" s="2">
        <f t="shared" si="10"/>
        <v>0</v>
      </c>
      <c r="N182" s="2">
        <f t="shared" si="10"/>
        <v>0</v>
      </c>
    </row>
    <row r="183" spans="1:14" x14ac:dyDescent="0.25">
      <c r="A183" s="1">
        <f t="shared" si="9"/>
        <v>0</v>
      </c>
      <c r="B183" s="2">
        <f>IF(C183=0,0,A183&amp;" "&amp;COUNTIF($A$1:$A183,A183))</f>
        <v>0</v>
      </c>
      <c r="C183" s="1">
        <v>0</v>
      </c>
      <c r="H183" s="2">
        <f t="shared" si="10"/>
        <v>0</v>
      </c>
      <c r="I183" s="2">
        <f t="shared" si="10"/>
        <v>0</v>
      </c>
      <c r="J183" s="2">
        <f t="shared" si="10"/>
        <v>0</v>
      </c>
      <c r="K183" s="2">
        <f t="shared" si="10"/>
        <v>0</v>
      </c>
      <c r="L183" s="2">
        <f t="shared" si="10"/>
        <v>0</v>
      </c>
      <c r="M183" s="2">
        <f t="shared" si="10"/>
        <v>0</v>
      </c>
      <c r="N183" s="2">
        <f t="shared" ref="M183:N200" si="11">IF($D183=N$1,$C183*1,0)</f>
        <v>0</v>
      </c>
    </row>
    <row r="184" spans="1:14" x14ac:dyDescent="0.25">
      <c r="A184" s="1">
        <f t="shared" si="9"/>
        <v>0</v>
      </c>
      <c r="B184" s="2">
        <f>IF(C184=0,0,A184&amp;" "&amp;COUNTIF($A$1:$A184,A184))</f>
        <v>0</v>
      </c>
      <c r="C184" s="1">
        <v>0</v>
      </c>
      <c r="H184" s="2">
        <f t="shared" ref="H184:L200" si="12">IF($D184=H$1,$C184*1,0)</f>
        <v>0</v>
      </c>
      <c r="I184" s="2">
        <f t="shared" si="12"/>
        <v>0</v>
      </c>
      <c r="J184" s="2">
        <f t="shared" si="12"/>
        <v>0</v>
      </c>
      <c r="K184" s="2">
        <f t="shared" si="12"/>
        <v>0</v>
      </c>
      <c r="L184" s="2">
        <f t="shared" si="12"/>
        <v>0</v>
      </c>
      <c r="M184" s="2">
        <f t="shared" si="11"/>
        <v>0</v>
      </c>
      <c r="N184" s="2">
        <f t="shared" si="11"/>
        <v>0</v>
      </c>
    </row>
    <row r="185" spans="1:14" x14ac:dyDescent="0.25">
      <c r="A185" s="1">
        <f t="shared" si="9"/>
        <v>0</v>
      </c>
      <c r="B185" s="2">
        <f>IF(C185=0,0,A185&amp;" "&amp;COUNTIF($A$1:$A185,A185))</f>
        <v>0</v>
      </c>
      <c r="C185" s="1">
        <v>0</v>
      </c>
      <c r="H185" s="2">
        <f t="shared" si="12"/>
        <v>0</v>
      </c>
      <c r="I185" s="2">
        <f t="shared" si="12"/>
        <v>0</v>
      </c>
      <c r="J185" s="2">
        <f t="shared" si="12"/>
        <v>0</v>
      </c>
      <c r="K185" s="2">
        <f t="shared" si="12"/>
        <v>0</v>
      </c>
      <c r="L185" s="2">
        <f t="shared" si="12"/>
        <v>0</v>
      </c>
      <c r="M185" s="2">
        <f t="shared" si="11"/>
        <v>0</v>
      </c>
      <c r="N185" s="2">
        <f t="shared" si="11"/>
        <v>0</v>
      </c>
    </row>
    <row r="186" spans="1:14" x14ac:dyDescent="0.25">
      <c r="A186" s="1">
        <f t="shared" si="9"/>
        <v>0</v>
      </c>
      <c r="B186" s="2">
        <f>IF(C186=0,0,A186&amp;" "&amp;COUNTIF($A$1:$A186,A186))</f>
        <v>0</v>
      </c>
      <c r="C186" s="1">
        <v>0</v>
      </c>
      <c r="H186" s="2">
        <f t="shared" si="12"/>
        <v>0</v>
      </c>
      <c r="I186" s="2">
        <f t="shared" si="12"/>
        <v>0</v>
      </c>
      <c r="J186" s="2">
        <f t="shared" si="12"/>
        <v>0</v>
      </c>
      <c r="K186" s="2">
        <f t="shared" si="12"/>
        <v>0</v>
      </c>
      <c r="L186" s="2">
        <f t="shared" si="12"/>
        <v>0</v>
      </c>
      <c r="M186" s="2">
        <f t="shared" si="11"/>
        <v>0</v>
      </c>
      <c r="N186" s="2">
        <f t="shared" si="11"/>
        <v>0</v>
      </c>
    </row>
    <row r="187" spans="1:14" x14ac:dyDescent="0.25">
      <c r="A187" s="1">
        <f t="shared" si="9"/>
        <v>0</v>
      </c>
      <c r="B187" s="2">
        <f>IF(C187=0,0,A187&amp;" "&amp;COUNTIF($A$1:$A187,A187))</f>
        <v>0</v>
      </c>
      <c r="C187" s="1">
        <v>0</v>
      </c>
      <c r="H187" s="2">
        <f t="shared" si="12"/>
        <v>0</v>
      </c>
      <c r="I187" s="2">
        <f t="shared" si="12"/>
        <v>0</v>
      </c>
      <c r="J187" s="2">
        <f t="shared" si="12"/>
        <v>0</v>
      </c>
      <c r="K187" s="2">
        <f t="shared" si="12"/>
        <v>0</v>
      </c>
      <c r="L187" s="2">
        <f t="shared" si="12"/>
        <v>0</v>
      </c>
      <c r="M187" s="2">
        <f t="shared" si="11"/>
        <v>0</v>
      </c>
      <c r="N187" s="2">
        <f t="shared" si="11"/>
        <v>0</v>
      </c>
    </row>
    <row r="188" spans="1:14" x14ac:dyDescent="0.25">
      <c r="A188" s="1">
        <f t="shared" si="9"/>
        <v>0</v>
      </c>
      <c r="B188" s="2">
        <f>IF(C188=0,0,A188&amp;" "&amp;COUNTIF($A$1:$A188,A188))</f>
        <v>0</v>
      </c>
      <c r="C188" s="1">
        <v>0</v>
      </c>
      <c r="H188" s="2">
        <f t="shared" si="12"/>
        <v>0</v>
      </c>
      <c r="I188" s="2">
        <f t="shared" si="12"/>
        <v>0</v>
      </c>
      <c r="J188" s="2">
        <f t="shared" si="12"/>
        <v>0</v>
      </c>
      <c r="K188" s="2">
        <f t="shared" si="12"/>
        <v>0</v>
      </c>
      <c r="L188" s="2">
        <f t="shared" si="12"/>
        <v>0</v>
      </c>
      <c r="M188" s="2">
        <f t="shared" si="11"/>
        <v>0</v>
      </c>
      <c r="N188" s="2">
        <f t="shared" si="11"/>
        <v>0</v>
      </c>
    </row>
    <row r="189" spans="1:14" x14ac:dyDescent="0.25">
      <c r="A189" s="1">
        <f t="shared" si="9"/>
        <v>0</v>
      </c>
      <c r="B189" s="2">
        <f>IF(C189=0,0,A189&amp;" "&amp;COUNTIF($A$1:$A189,A189))</f>
        <v>0</v>
      </c>
      <c r="C189" s="1">
        <v>0</v>
      </c>
      <c r="H189" s="2">
        <f t="shared" si="12"/>
        <v>0</v>
      </c>
      <c r="I189" s="2">
        <f t="shared" si="12"/>
        <v>0</v>
      </c>
      <c r="J189" s="2">
        <f t="shared" si="12"/>
        <v>0</v>
      </c>
      <c r="K189" s="2">
        <f t="shared" si="12"/>
        <v>0</v>
      </c>
      <c r="L189" s="2">
        <f t="shared" si="12"/>
        <v>0</v>
      </c>
      <c r="M189" s="2">
        <f t="shared" si="11"/>
        <v>0</v>
      </c>
      <c r="N189" s="2">
        <f t="shared" si="11"/>
        <v>0</v>
      </c>
    </row>
    <row r="190" spans="1:14" x14ac:dyDescent="0.25">
      <c r="A190" s="1">
        <f t="shared" si="9"/>
        <v>0</v>
      </c>
      <c r="B190" s="2">
        <f>IF(C190=0,0,A190&amp;" "&amp;COUNTIF($A$1:$A190,A190))</f>
        <v>0</v>
      </c>
      <c r="C190" s="1">
        <v>0</v>
      </c>
      <c r="H190" s="2">
        <f t="shared" si="12"/>
        <v>0</v>
      </c>
      <c r="I190" s="2">
        <f t="shared" si="12"/>
        <v>0</v>
      </c>
      <c r="J190" s="2">
        <f t="shared" si="12"/>
        <v>0</v>
      </c>
      <c r="K190" s="2">
        <f t="shared" si="12"/>
        <v>0</v>
      </c>
      <c r="L190" s="2">
        <f t="shared" si="12"/>
        <v>0</v>
      </c>
      <c r="M190" s="2">
        <f t="shared" si="11"/>
        <v>0</v>
      </c>
      <c r="N190" s="2">
        <f t="shared" si="11"/>
        <v>0</v>
      </c>
    </row>
    <row r="191" spans="1:14" x14ac:dyDescent="0.25">
      <c r="A191" s="1">
        <f t="shared" si="9"/>
        <v>0</v>
      </c>
      <c r="B191" s="2">
        <f>IF(C191=0,0,A191&amp;" "&amp;COUNTIF($A$1:$A191,A191))</f>
        <v>0</v>
      </c>
      <c r="C191" s="1">
        <v>0</v>
      </c>
      <c r="H191" s="2">
        <f t="shared" si="12"/>
        <v>0</v>
      </c>
      <c r="I191" s="2">
        <f t="shared" si="12"/>
        <v>0</v>
      </c>
      <c r="J191" s="2">
        <f t="shared" si="12"/>
        <v>0</v>
      </c>
      <c r="K191" s="2">
        <f t="shared" si="12"/>
        <v>0</v>
      </c>
      <c r="L191" s="2">
        <f t="shared" si="12"/>
        <v>0</v>
      </c>
      <c r="M191" s="2">
        <f t="shared" si="11"/>
        <v>0</v>
      </c>
      <c r="N191" s="2">
        <f t="shared" si="11"/>
        <v>0</v>
      </c>
    </row>
    <row r="192" spans="1:14" x14ac:dyDescent="0.25">
      <c r="A192" s="1">
        <f t="shared" si="9"/>
        <v>0</v>
      </c>
      <c r="B192" s="2">
        <f>IF(C192=0,0,A192&amp;" "&amp;COUNTIF($A$1:$A192,A192))</f>
        <v>0</v>
      </c>
      <c r="C192" s="1">
        <v>0</v>
      </c>
      <c r="H192" s="2">
        <f t="shared" si="12"/>
        <v>0</v>
      </c>
      <c r="I192" s="2">
        <f t="shared" si="12"/>
        <v>0</v>
      </c>
      <c r="J192" s="2">
        <f t="shared" si="12"/>
        <v>0</v>
      </c>
      <c r="K192" s="2">
        <f t="shared" si="12"/>
        <v>0</v>
      </c>
      <c r="L192" s="2">
        <f t="shared" si="12"/>
        <v>0</v>
      </c>
      <c r="M192" s="2">
        <f t="shared" si="11"/>
        <v>0</v>
      </c>
      <c r="N192" s="2">
        <f t="shared" si="11"/>
        <v>0</v>
      </c>
    </row>
    <row r="193" spans="1:14" x14ac:dyDescent="0.25">
      <c r="A193" s="1">
        <f t="shared" si="9"/>
        <v>0</v>
      </c>
      <c r="B193" s="2">
        <f>IF(C193=0,0,A193&amp;" "&amp;COUNTIF($A$1:$A193,A193))</f>
        <v>0</v>
      </c>
      <c r="C193" s="1">
        <v>0</v>
      </c>
      <c r="H193" s="2">
        <f t="shared" si="12"/>
        <v>0</v>
      </c>
      <c r="I193" s="2">
        <f t="shared" si="12"/>
        <v>0</v>
      </c>
      <c r="J193" s="2">
        <f t="shared" si="12"/>
        <v>0</v>
      </c>
      <c r="K193" s="2">
        <f t="shared" si="12"/>
        <v>0</v>
      </c>
      <c r="L193" s="2">
        <f t="shared" si="12"/>
        <v>0</v>
      </c>
      <c r="M193" s="2">
        <f t="shared" si="11"/>
        <v>0</v>
      </c>
      <c r="N193" s="2">
        <f t="shared" si="11"/>
        <v>0</v>
      </c>
    </row>
    <row r="194" spans="1:14" x14ac:dyDescent="0.25">
      <c r="A194" s="1">
        <f t="shared" si="9"/>
        <v>0</v>
      </c>
      <c r="B194" s="2">
        <f>IF(C194=0,0,A194&amp;" "&amp;COUNTIF($A$1:$A194,A194))</f>
        <v>0</v>
      </c>
      <c r="C194" s="1">
        <v>0</v>
      </c>
      <c r="H194" s="2">
        <f t="shared" si="12"/>
        <v>0</v>
      </c>
      <c r="I194" s="2">
        <f t="shared" si="12"/>
        <v>0</v>
      </c>
      <c r="J194" s="2">
        <f t="shared" si="12"/>
        <v>0</v>
      </c>
      <c r="K194" s="2">
        <f t="shared" si="12"/>
        <v>0</v>
      </c>
      <c r="L194" s="2">
        <f t="shared" si="12"/>
        <v>0</v>
      </c>
      <c r="M194" s="2">
        <f t="shared" si="11"/>
        <v>0</v>
      </c>
      <c r="N194" s="2">
        <f t="shared" si="11"/>
        <v>0</v>
      </c>
    </row>
    <row r="195" spans="1:14" x14ac:dyDescent="0.25">
      <c r="A195" s="1">
        <f t="shared" ref="A195:A200" si="13">IF(C195=1,D195,0)</f>
        <v>0</v>
      </c>
      <c r="B195" s="2">
        <f>IF(C195=0,0,A195&amp;" "&amp;COUNTIF($A$1:$A195,A195))</f>
        <v>0</v>
      </c>
      <c r="C195" s="1">
        <v>0</v>
      </c>
      <c r="H195" s="2">
        <f t="shared" si="12"/>
        <v>0</v>
      </c>
      <c r="I195" s="2">
        <f t="shared" si="12"/>
        <v>0</v>
      </c>
      <c r="J195" s="2">
        <f t="shared" si="12"/>
        <v>0</v>
      </c>
      <c r="K195" s="2">
        <f t="shared" si="12"/>
        <v>0</v>
      </c>
      <c r="L195" s="2">
        <f t="shared" si="12"/>
        <v>0</v>
      </c>
      <c r="M195" s="2">
        <f t="shared" si="11"/>
        <v>0</v>
      </c>
      <c r="N195" s="2">
        <f t="shared" si="11"/>
        <v>0</v>
      </c>
    </row>
    <row r="196" spans="1:14" x14ac:dyDescent="0.25">
      <c r="A196" s="1">
        <f t="shared" si="13"/>
        <v>0</v>
      </c>
      <c r="B196" s="2">
        <f>IF(C196=0,0,A196&amp;" "&amp;COUNTIF($A$1:$A196,A196))</f>
        <v>0</v>
      </c>
      <c r="C196" s="1">
        <v>0</v>
      </c>
      <c r="H196" s="2">
        <f t="shared" si="12"/>
        <v>0</v>
      </c>
      <c r="I196" s="2">
        <f t="shared" si="12"/>
        <v>0</v>
      </c>
      <c r="J196" s="2">
        <f t="shared" si="12"/>
        <v>0</v>
      </c>
      <c r="K196" s="2">
        <f t="shared" si="12"/>
        <v>0</v>
      </c>
      <c r="L196" s="2">
        <f t="shared" si="12"/>
        <v>0</v>
      </c>
      <c r="M196" s="2">
        <f t="shared" si="11"/>
        <v>0</v>
      </c>
      <c r="N196" s="2">
        <f t="shared" si="11"/>
        <v>0</v>
      </c>
    </row>
    <row r="197" spans="1:14" x14ac:dyDescent="0.25">
      <c r="A197" s="1">
        <f t="shared" si="13"/>
        <v>0</v>
      </c>
      <c r="B197" s="2">
        <f>IF(C197=0,0,A197&amp;" "&amp;COUNTIF($A$1:$A197,A197))</f>
        <v>0</v>
      </c>
      <c r="C197" s="1">
        <v>0</v>
      </c>
      <c r="H197" s="2">
        <f t="shared" si="12"/>
        <v>0</v>
      </c>
      <c r="I197" s="2">
        <f t="shared" si="12"/>
        <v>0</v>
      </c>
      <c r="J197" s="2">
        <f t="shared" si="12"/>
        <v>0</v>
      </c>
      <c r="K197" s="2">
        <f t="shared" si="12"/>
        <v>0</v>
      </c>
      <c r="L197" s="2">
        <f t="shared" si="12"/>
        <v>0</v>
      </c>
      <c r="M197" s="2">
        <f t="shared" si="11"/>
        <v>0</v>
      </c>
      <c r="N197" s="2">
        <f t="shared" si="11"/>
        <v>0</v>
      </c>
    </row>
    <row r="198" spans="1:14" x14ac:dyDescent="0.25">
      <c r="A198" s="1">
        <f t="shared" si="13"/>
        <v>0</v>
      </c>
      <c r="B198" s="2">
        <f>IF(C198=0,0,A198&amp;" "&amp;COUNTIF($A$1:$A198,A198))</f>
        <v>0</v>
      </c>
      <c r="C198" s="1">
        <v>0</v>
      </c>
      <c r="H198" s="2">
        <f t="shared" si="12"/>
        <v>0</v>
      </c>
      <c r="I198" s="2">
        <f t="shared" si="12"/>
        <v>0</v>
      </c>
      <c r="J198" s="2">
        <f t="shared" si="12"/>
        <v>0</v>
      </c>
      <c r="K198" s="2">
        <f t="shared" si="12"/>
        <v>0</v>
      </c>
      <c r="L198" s="2">
        <f t="shared" si="12"/>
        <v>0</v>
      </c>
      <c r="M198" s="2">
        <f t="shared" si="11"/>
        <v>0</v>
      </c>
      <c r="N198" s="2">
        <f t="shared" si="11"/>
        <v>0</v>
      </c>
    </row>
    <row r="199" spans="1:14" x14ac:dyDescent="0.25">
      <c r="A199" s="1">
        <f t="shared" si="13"/>
        <v>0</v>
      </c>
      <c r="B199" s="2">
        <f>IF(C199=0,0,A199&amp;" "&amp;COUNTIF($A$1:$A199,A199))</f>
        <v>0</v>
      </c>
      <c r="C199" s="1">
        <v>0</v>
      </c>
      <c r="H199" s="2">
        <f t="shared" si="12"/>
        <v>0</v>
      </c>
      <c r="I199" s="2">
        <f t="shared" si="12"/>
        <v>0</v>
      </c>
      <c r="J199" s="2">
        <f t="shared" si="12"/>
        <v>0</v>
      </c>
      <c r="K199" s="2">
        <f t="shared" si="12"/>
        <v>0</v>
      </c>
      <c r="L199" s="2">
        <f t="shared" si="12"/>
        <v>0</v>
      </c>
      <c r="M199" s="2">
        <f t="shared" si="11"/>
        <v>0</v>
      </c>
      <c r="N199" s="2">
        <f t="shared" si="11"/>
        <v>0</v>
      </c>
    </row>
    <row r="200" spans="1:14" x14ac:dyDescent="0.25">
      <c r="A200" s="1">
        <f t="shared" si="13"/>
        <v>0</v>
      </c>
      <c r="B200" s="2">
        <f>IF(C200=0,0,A200&amp;" "&amp;COUNTIF($A$1:$A200,A200))</f>
        <v>0</v>
      </c>
      <c r="C200" s="1">
        <v>0</v>
      </c>
      <c r="H200" s="2">
        <f t="shared" si="12"/>
        <v>0</v>
      </c>
      <c r="I200" s="2">
        <f t="shared" si="12"/>
        <v>0</v>
      </c>
      <c r="J200" s="2">
        <f t="shared" si="12"/>
        <v>0</v>
      </c>
      <c r="K200" s="2">
        <f t="shared" si="12"/>
        <v>0</v>
      </c>
      <c r="L200" s="2">
        <f t="shared" si="12"/>
        <v>0</v>
      </c>
      <c r="M200" s="2">
        <f t="shared" si="11"/>
        <v>0</v>
      </c>
      <c r="N200" s="2">
        <f t="shared" si="11"/>
        <v>0</v>
      </c>
    </row>
    <row r="201" spans="1:14" x14ac:dyDescent="0.25">
      <c r="C201" s="1"/>
    </row>
    <row r="202" spans="1:14" x14ac:dyDescent="0.25">
      <c r="C202" s="1"/>
    </row>
    <row r="203" spans="1:14" x14ac:dyDescent="0.25">
      <c r="C203" s="1"/>
    </row>
    <row r="204" spans="1:14" x14ac:dyDescent="0.25">
      <c r="C204" s="1"/>
    </row>
    <row r="205" spans="1:14" x14ac:dyDescent="0.25">
      <c r="C205" s="1"/>
    </row>
    <row r="206" spans="1:14" x14ac:dyDescent="0.25">
      <c r="C206" s="1"/>
    </row>
    <row r="207" spans="1:14" x14ac:dyDescent="0.25">
      <c r="C207" s="1"/>
    </row>
    <row r="208" spans="1:14" x14ac:dyDescent="0.25">
      <c r="C208" s="1"/>
    </row>
    <row r="209" spans="3:3" x14ac:dyDescent="0.25">
      <c r="C209" s="1"/>
    </row>
    <row r="210" spans="3:3" x14ac:dyDescent="0.25">
      <c r="C210" s="1"/>
    </row>
    <row r="211" spans="3:3" x14ac:dyDescent="0.25">
      <c r="C211" s="1"/>
    </row>
    <row r="212" spans="3:3" x14ac:dyDescent="0.25">
      <c r="C212" s="1"/>
    </row>
    <row r="213" spans="3:3" x14ac:dyDescent="0.25">
      <c r="C213" s="1"/>
    </row>
    <row r="214" spans="3:3" x14ac:dyDescent="0.25">
      <c r="C214" s="1"/>
    </row>
    <row r="215" spans="3:3" x14ac:dyDescent="0.25">
      <c r="C215" s="1"/>
    </row>
    <row r="216" spans="3:3" x14ac:dyDescent="0.25">
      <c r="C216" s="1"/>
    </row>
    <row r="217" spans="3:3" x14ac:dyDescent="0.25">
      <c r="C217" s="1"/>
    </row>
    <row r="218" spans="3:3" x14ac:dyDescent="0.25">
      <c r="C218" s="1"/>
    </row>
    <row r="219" spans="3:3" x14ac:dyDescent="0.25">
      <c r="C219" s="1"/>
    </row>
    <row r="220" spans="3:3" x14ac:dyDescent="0.25">
      <c r="C220" s="1"/>
    </row>
    <row r="221" spans="3:3" x14ac:dyDescent="0.25">
      <c r="C221" s="1"/>
    </row>
    <row r="222" spans="3:3" x14ac:dyDescent="0.25">
      <c r="C222" s="1"/>
    </row>
    <row r="223" spans="3:3" x14ac:dyDescent="0.25">
      <c r="C223" s="1"/>
    </row>
    <row r="224" spans="3:3" x14ac:dyDescent="0.25">
      <c r="C224" s="1"/>
    </row>
    <row r="225" spans="3:7" x14ac:dyDescent="0.25">
      <c r="C225" s="1"/>
    </row>
    <row r="226" spans="3:7" x14ac:dyDescent="0.25">
      <c r="C226" s="1"/>
    </row>
    <row r="227" spans="3:7" x14ac:dyDescent="0.25">
      <c r="C227" s="1"/>
    </row>
    <row r="228" spans="3:7" x14ac:dyDescent="0.25">
      <c r="C228" s="1"/>
    </row>
    <row r="229" spans="3:7" x14ac:dyDescent="0.25">
      <c r="C229" s="1"/>
    </row>
    <row r="230" spans="3:7" x14ac:dyDescent="0.25">
      <c r="C230" s="1"/>
    </row>
    <row r="231" spans="3:7" x14ac:dyDescent="0.25">
      <c r="C231" s="1"/>
    </row>
    <row r="232" spans="3:7" x14ac:dyDescent="0.25">
      <c r="C232" s="1"/>
    </row>
    <row r="233" spans="3:7" x14ac:dyDescent="0.25">
      <c r="C233" s="1"/>
    </row>
    <row r="234" spans="3:7" x14ac:dyDescent="0.25">
      <c r="C234" s="1"/>
    </row>
    <row r="235" spans="3:7" x14ac:dyDescent="0.25">
      <c r="C235" s="1"/>
    </row>
    <row r="236" spans="3:7" x14ac:dyDescent="0.25">
      <c r="C236" s="1"/>
      <c r="G236" s="35"/>
    </row>
    <row r="237" spans="3:7" x14ac:dyDescent="0.25">
      <c r="C237" s="1"/>
      <c r="G237" s="35"/>
    </row>
    <row r="238" spans="3:7" x14ac:dyDescent="0.25">
      <c r="C238" s="1"/>
      <c r="G238" s="35"/>
    </row>
    <row r="239" spans="3:7" x14ac:dyDescent="0.25">
      <c r="C239" s="1"/>
      <c r="G239" s="35"/>
    </row>
    <row r="240" spans="3:7" x14ac:dyDescent="0.25">
      <c r="C240" s="1"/>
      <c r="G240" s="35"/>
    </row>
    <row r="241" spans="3:7" x14ac:dyDescent="0.25">
      <c r="C241" s="1"/>
      <c r="G241" s="35"/>
    </row>
    <row r="242" spans="3:7" x14ac:dyDescent="0.25">
      <c r="C242" s="1"/>
      <c r="G242" s="35"/>
    </row>
    <row r="243" spans="3:7" x14ac:dyDescent="0.25">
      <c r="C243" s="1"/>
      <c r="G243" s="35"/>
    </row>
    <row r="244" spans="3:7" x14ac:dyDescent="0.25">
      <c r="C244" s="1"/>
      <c r="G244" s="35"/>
    </row>
    <row r="245" spans="3:7" x14ac:dyDescent="0.25">
      <c r="C245" s="1"/>
      <c r="G245" s="35"/>
    </row>
    <row r="246" spans="3:7" x14ac:dyDescent="0.25">
      <c r="C246" s="1"/>
      <c r="G246" s="35"/>
    </row>
    <row r="247" spans="3:7" x14ac:dyDescent="0.25">
      <c r="C247" s="1"/>
      <c r="G247" s="35"/>
    </row>
    <row r="248" spans="3:7" x14ac:dyDescent="0.25">
      <c r="C248" s="1"/>
      <c r="G248" s="35"/>
    </row>
    <row r="249" spans="3:7" x14ac:dyDescent="0.25">
      <c r="C249" s="1"/>
      <c r="G249" s="35"/>
    </row>
    <row r="250" spans="3:7" x14ac:dyDescent="0.25">
      <c r="C250" s="1"/>
      <c r="G250" s="35"/>
    </row>
    <row r="251" spans="3:7" x14ac:dyDescent="0.25">
      <c r="C251" s="1"/>
      <c r="G251" s="35"/>
    </row>
    <row r="252" spans="3:7" x14ac:dyDescent="0.25">
      <c r="C252" s="1"/>
      <c r="G252" s="35"/>
    </row>
    <row r="253" spans="3:7" x14ac:dyDescent="0.25">
      <c r="C253" s="1"/>
      <c r="G253" s="35"/>
    </row>
    <row r="254" spans="3:7" x14ac:dyDescent="0.25">
      <c r="C254" s="1"/>
      <c r="G254" s="35"/>
    </row>
    <row r="255" spans="3:7" x14ac:dyDescent="0.25">
      <c r="C255" s="1"/>
      <c r="G255" s="35"/>
    </row>
    <row r="256" spans="3:7" x14ac:dyDescent="0.25">
      <c r="C256" s="1"/>
      <c r="G256" s="35"/>
    </row>
    <row r="257" spans="3:7" x14ac:dyDescent="0.25">
      <c r="C257" s="1"/>
      <c r="G257" s="35"/>
    </row>
    <row r="258" spans="3:7" x14ac:dyDescent="0.25">
      <c r="C258" s="1"/>
      <c r="G258" s="35"/>
    </row>
    <row r="259" spans="3:7" x14ac:dyDescent="0.25">
      <c r="C259" s="1"/>
      <c r="G259" s="35"/>
    </row>
    <row r="260" spans="3:7" x14ac:dyDescent="0.25">
      <c r="C260" s="1"/>
      <c r="G260" s="35"/>
    </row>
    <row r="261" spans="3:7" x14ac:dyDescent="0.25">
      <c r="C261" s="1"/>
      <c r="G261" s="35"/>
    </row>
    <row r="262" spans="3:7" x14ac:dyDescent="0.25">
      <c r="C262" s="1"/>
      <c r="G262" s="35"/>
    </row>
    <row r="263" spans="3:7" x14ac:dyDescent="0.25">
      <c r="C263" s="1"/>
      <c r="G263" s="35"/>
    </row>
    <row r="264" spans="3:7" x14ac:dyDescent="0.25">
      <c r="C264" s="1"/>
      <c r="G264" s="35"/>
    </row>
    <row r="265" spans="3:7" x14ac:dyDescent="0.25">
      <c r="C265" s="1"/>
      <c r="G265" s="35"/>
    </row>
    <row r="266" spans="3:7" x14ac:dyDescent="0.25">
      <c r="C266" s="1"/>
      <c r="G266" s="35"/>
    </row>
    <row r="267" spans="3:7" x14ac:dyDescent="0.25">
      <c r="C267" s="1"/>
      <c r="G267" s="35"/>
    </row>
    <row r="268" spans="3:7" x14ac:dyDescent="0.25">
      <c r="C268" s="1"/>
      <c r="G268" s="35"/>
    </row>
    <row r="269" spans="3:7" x14ac:dyDescent="0.25">
      <c r="C269" s="1"/>
      <c r="G269" s="35"/>
    </row>
    <row r="270" spans="3:7" x14ac:dyDescent="0.25">
      <c r="C270" s="1"/>
      <c r="G270" s="35"/>
    </row>
    <row r="271" spans="3:7" x14ac:dyDescent="0.25">
      <c r="C271" s="1"/>
      <c r="G271" s="35"/>
    </row>
    <row r="272" spans="3:7" x14ac:dyDescent="0.25">
      <c r="C272" s="1"/>
      <c r="G272" s="35"/>
    </row>
    <row r="273" spans="3:7" x14ac:dyDescent="0.25">
      <c r="C273" s="1"/>
      <c r="G273" s="35"/>
    </row>
    <row r="274" spans="3:7" x14ac:dyDescent="0.25">
      <c r="C274" s="1"/>
      <c r="G274" s="35"/>
    </row>
    <row r="275" spans="3:7" x14ac:dyDescent="0.25">
      <c r="C275" s="1"/>
      <c r="G275" s="35"/>
    </row>
    <row r="276" spans="3:7" x14ac:dyDescent="0.25">
      <c r="C276" s="1"/>
      <c r="G276" s="35"/>
    </row>
    <row r="277" spans="3:7" x14ac:dyDescent="0.25">
      <c r="C277" s="1"/>
      <c r="G277" s="35"/>
    </row>
    <row r="278" spans="3:7" x14ac:dyDescent="0.25">
      <c r="C278" s="1"/>
      <c r="G278" s="35"/>
    </row>
    <row r="279" spans="3:7" x14ac:dyDescent="0.25">
      <c r="C279" s="1"/>
      <c r="G279" s="35"/>
    </row>
    <row r="280" spans="3:7" x14ac:dyDescent="0.25">
      <c r="C280" s="1"/>
      <c r="G280" s="35"/>
    </row>
    <row r="281" spans="3:7" x14ac:dyDescent="0.25">
      <c r="C281" s="1"/>
      <c r="G281" s="35"/>
    </row>
    <row r="282" spans="3:7" x14ac:dyDescent="0.25">
      <c r="C282" s="1"/>
      <c r="G282" s="35"/>
    </row>
    <row r="283" spans="3:7" x14ac:dyDescent="0.25">
      <c r="C283" s="1"/>
      <c r="G283" s="35"/>
    </row>
    <row r="284" spans="3:7" x14ac:dyDescent="0.25">
      <c r="C284" s="1"/>
      <c r="G284" s="35"/>
    </row>
    <row r="285" spans="3:7" x14ac:dyDescent="0.25">
      <c r="C285" s="1"/>
      <c r="G285" s="35"/>
    </row>
    <row r="286" spans="3:7" x14ac:dyDescent="0.25">
      <c r="C286" s="1"/>
      <c r="G286" s="35"/>
    </row>
    <row r="287" spans="3:7" x14ac:dyDescent="0.25">
      <c r="C287" s="1"/>
      <c r="G287" s="35"/>
    </row>
    <row r="288" spans="3:7" x14ac:dyDescent="0.25">
      <c r="C288" s="1"/>
      <c r="G288" s="35"/>
    </row>
    <row r="289" spans="3:7" x14ac:dyDescent="0.25">
      <c r="C289" s="1"/>
      <c r="G289" s="35"/>
    </row>
    <row r="290" spans="3:7" x14ac:dyDescent="0.25">
      <c r="C290" s="1"/>
      <c r="G290" s="35"/>
    </row>
    <row r="291" spans="3:7" x14ac:dyDescent="0.25">
      <c r="C291" s="1"/>
      <c r="G291" s="35"/>
    </row>
    <row r="292" spans="3:7" x14ac:dyDescent="0.25">
      <c r="C292" s="1"/>
      <c r="G292" s="35"/>
    </row>
    <row r="293" spans="3:7" x14ac:dyDescent="0.25">
      <c r="C293" s="1"/>
      <c r="G293" s="35"/>
    </row>
    <row r="294" spans="3:7" x14ac:dyDescent="0.25">
      <c r="C294" s="1"/>
      <c r="G294" s="35"/>
    </row>
    <row r="295" spans="3:7" x14ac:dyDescent="0.25">
      <c r="C295" s="1"/>
      <c r="G295" s="35"/>
    </row>
    <row r="296" spans="3:7" x14ac:dyDescent="0.25">
      <c r="C296" s="1"/>
      <c r="G296" s="35"/>
    </row>
    <row r="297" spans="3:7" x14ac:dyDescent="0.25">
      <c r="C297" s="1"/>
      <c r="G297" s="35"/>
    </row>
    <row r="298" spans="3:7" x14ac:dyDescent="0.25">
      <c r="C298" s="1"/>
      <c r="G298" s="35"/>
    </row>
    <row r="299" spans="3:7" x14ac:dyDescent="0.25">
      <c r="C299" s="1"/>
      <c r="G299" s="35"/>
    </row>
    <row r="300" spans="3:7" x14ac:dyDescent="0.25">
      <c r="C300" s="1"/>
      <c r="G300" s="35"/>
    </row>
    <row r="301" spans="3:7" x14ac:dyDescent="0.25">
      <c r="C301" s="1"/>
      <c r="G301" s="35"/>
    </row>
    <row r="302" spans="3:7" x14ac:dyDescent="0.25">
      <c r="C302" s="1"/>
      <c r="G302" s="35"/>
    </row>
    <row r="303" spans="3:7" x14ac:dyDescent="0.25">
      <c r="C303" s="1"/>
      <c r="G303" s="35"/>
    </row>
    <row r="304" spans="3:7" x14ac:dyDescent="0.25">
      <c r="C304" s="1"/>
      <c r="G304" s="35"/>
    </row>
    <row r="305" spans="3:7" x14ac:dyDescent="0.25">
      <c r="C305" s="1"/>
      <c r="G305" s="35"/>
    </row>
    <row r="306" spans="3:7" x14ac:dyDescent="0.25">
      <c r="C306" s="1"/>
      <c r="G306" s="35"/>
    </row>
    <row r="307" spans="3:7" x14ac:dyDescent="0.25">
      <c r="C307" s="1"/>
      <c r="G307" s="35"/>
    </row>
    <row r="308" spans="3:7" x14ac:dyDescent="0.25">
      <c r="C308" s="1"/>
      <c r="G308" s="35"/>
    </row>
    <row r="309" spans="3:7" x14ac:dyDescent="0.25">
      <c r="C309" s="1"/>
      <c r="G309" s="35"/>
    </row>
    <row r="310" spans="3:7" x14ac:dyDescent="0.25">
      <c r="C310" s="1"/>
      <c r="G310" s="35"/>
    </row>
    <row r="311" spans="3:7" x14ac:dyDescent="0.25">
      <c r="C311" s="1"/>
      <c r="G311" s="35"/>
    </row>
    <row r="312" spans="3:7" x14ac:dyDescent="0.25">
      <c r="C312" s="1"/>
      <c r="G312" s="35"/>
    </row>
    <row r="313" spans="3:7" x14ac:dyDescent="0.25">
      <c r="C313" s="1"/>
      <c r="G313" s="35"/>
    </row>
    <row r="314" spans="3:7" x14ac:dyDescent="0.25">
      <c r="C314" s="1"/>
      <c r="G314" s="35"/>
    </row>
    <row r="315" spans="3:7" x14ac:dyDescent="0.25">
      <c r="C315" s="1"/>
      <c r="G315" s="35"/>
    </row>
    <row r="316" spans="3:7" x14ac:dyDescent="0.25">
      <c r="C316" s="1"/>
      <c r="G316" s="35"/>
    </row>
    <row r="317" spans="3:7" x14ac:dyDescent="0.25">
      <c r="C317" s="1"/>
      <c r="G317" s="35"/>
    </row>
    <row r="318" spans="3:7" x14ac:dyDescent="0.25">
      <c r="C318" s="1"/>
      <c r="G318" s="35"/>
    </row>
    <row r="319" spans="3:7" x14ac:dyDescent="0.25">
      <c r="C319" s="1"/>
      <c r="G319" s="35"/>
    </row>
    <row r="320" spans="3:7" x14ac:dyDescent="0.25">
      <c r="C320" s="1"/>
      <c r="G320" s="35"/>
    </row>
    <row r="321" spans="3:7" x14ac:dyDescent="0.25">
      <c r="C321" s="1"/>
      <c r="G321" s="35"/>
    </row>
    <row r="322" spans="3:7" x14ac:dyDescent="0.25">
      <c r="C322" s="1"/>
      <c r="G322" s="35"/>
    </row>
    <row r="323" spans="3:7" x14ac:dyDescent="0.25">
      <c r="C323" s="1"/>
      <c r="G323" s="35"/>
    </row>
    <row r="324" spans="3:7" x14ac:dyDescent="0.25">
      <c r="C324" s="1"/>
      <c r="G324" s="35"/>
    </row>
    <row r="325" spans="3:7" x14ac:dyDescent="0.25">
      <c r="C325" s="1"/>
      <c r="G325" s="35"/>
    </row>
    <row r="326" spans="3:7" x14ac:dyDescent="0.25">
      <c r="C326" s="1"/>
      <c r="G326" s="35"/>
    </row>
    <row r="327" spans="3:7" x14ac:dyDescent="0.25">
      <c r="C327" s="1"/>
      <c r="G327" s="35"/>
    </row>
    <row r="328" spans="3:7" x14ac:dyDescent="0.25">
      <c r="C328" s="1"/>
      <c r="G328" s="35"/>
    </row>
    <row r="329" spans="3:7" x14ac:dyDescent="0.25">
      <c r="C329" s="1"/>
      <c r="G329" s="35"/>
    </row>
    <row r="330" spans="3:7" x14ac:dyDescent="0.25">
      <c r="C330" s="1"/>
      <c r="G330" s="35"/>
    </row>
    <row r="331" spans="3:7" x14ac:dyDescent="0.25">
      <c r="C331" s="1"/>
      <c r="G331" s="35"/>
    </row>
    <row r="332" spans="3:7" x14ac:dyDescent="0.25">
      <c r="C332" s="1"/>
      <c r="G332" s="35"/>
    </row>
    <row r="333" spans="3:7" x14ac:dyDescent="0.25">
      <c r="C333" s="1"/>
      <c r="G333" s="35"/>
    </row>
    <row r="334" spans="3:7" x14ac:dyDescent="0.25">
      <c r="C334" s="1"/>
    </row>
    <row r="335" spans="3:7" x14ac:dyDescent="0.25">
      <c r="C335" s="1"/>
    </row>
    <row r="336" spans="3:7" x14ac:dyDescent="0.25">
      <c r="C336" s="1"/>
    </row>
    <row r="337" spans="3:3" x14ac:dyDescent="0.25">
      <c r="C337" s="1"/>
    </row>
    <row r="338" spans="3:3" x14ac:dyDescent="0.25">
      <c r="C338" s="1"/>
    </row>
    <row r="339" spans="3:3" x14ac:dyDescent="0.25">
      <c r="C339" s="1"/>
    </row>
    <row r="340" spans="3:3" x14ac:dyDescent="0.25">
      <c r="C340" s="1"/>
    </row>
  </sheetData>
  <scenarios current="0">
    <scenario name="NBA Solver" count="1" user="Matt Dorris" comment="Created by Matt Dorris on 2/3/2017">
      <inputCells r="C339" val=""/>
    </scenario>
  </scenario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T123"/>
  <sheetViews>
    <sheetView workbookViewId="0">
      <selection activeCell="E14" sqref="E14"/>
    </sheetView>
  </sheetViews>
  <sheetFormatPr defaultRowHeight="15" x14ac:dyDescent="0.25"/>
  <cols>
    <col min="1" max="1" width="9.140625" style="20"/>
    <col min="4" max="4" width="14.140625" bestFit="1" customWidth="1"/>
    <col min="5" max="5" width="19.140625" customWidth="1"/>
    <col min="6" max="6" width="25.42578125" bestFit="1" customWidth="1"/>
    <col min="7" max="7" width="23.5703125" bestFit="1" customWidth="1"/>
    <col min="8" max="8" width="22.42578125" bestFit="1" customWidth="1"/>
    <col min="9" max="9" width="14.140625" customWidth="1"/>
    <col min="10" max="10" width="27.7109375" customWidth="1"/>
  </cols>
  <sheetData>
    <row r="1" spans="1:46" ht="15.75" thickTop="1" x14ac:dyDescent="0.25">
      <c r="A1" s="19"/>
      <c r="B1" s="3"/>
      <c r="C1" s="4"/>
      <c r="D1" s="4"/>
      <c r="E1" s="4"/>
      <c r="F1" s="4"/>
      <c r="G1" s="4"/>
      <c r="H1" s="4"/>
      <c r="I1" s="4"/>
      <c r="J1" s="4"/>
      <c r="K1" s="5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</row>
    <row r="2" spans="1:46" ht="20.25" x14ac:dyDescent="0.3">
      <c r="A2" s="19"/>
      <c r="B2" s="6"/>
      <c r="C2" s="7"/>
      <c r="D2" s="43" t="s">
        <v>15</v>
      </c>
      <c r="E2" s="43"/>
      <c r="F2" s="43"/>
      <c r="G2" s="43"/>
      <c r="H2" s="43"/>
      <c r="I2" s="43"/>
      <c r="J2" s="7"/>
      <c r="K2" s="8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</row>
    <row r="3" spans="1:46" ht="20.25" x14ac:dyDescent="0.3">
      <c r="A3" s="19"/>
      <c r="B3" s="6"/>
      <c r="C3" s="7"/>
      <c r="D3" s="44" t="s">
        <v>32</v>
      </c>
      <c r="E3" s="44"/>
      <c r="F3" s="44"/>
      <c r="G3" s="44"/>
      <c r="H3" s="44"/>
      <c r="I3" s="44"/>
      <c r="J3" s="7"/>
      <c r="K3" s="8"/>
      <c r="L3" s="21"/>
      <c r="M3" s="23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</row>
    <row r="4" spans="1:46" ht="15.75" thickBot="1" x14ac:dyDescent="0.3">
      <c r="A4" s="19"/>
      <c r="B4" s="9"/>
      <c r="C4" s="10"/>
      <c r="D4" s="10"/>
      <c r="E4" s="10"/>
      <c r="F4" s="10"/>
      <c r="G4" s="10"/>
      <c r="H4" s="10"/>
      <c r="I4" s="10"/>
      <c r="J4" s="10"/>
      <c r="K4" s="1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</row>
    <row r="5" spans="1:46" ht="15.75" thickTop="1" x14ac:dyDescent="0.25">
      <c r="A5" s="19"/>
      <c r="B5" s="24"/>
      <c r="C5" s="18"/>
      <c r="D5" s="18"/>
      <c r="E5" s="18"/>
      <c r="F5" s="18"/>
      <c r="G5" s="18"/>
      <c r="H5" s="18"/>
      <c r="I5" s="18"/>
      <c r="J5" s="18"/>
      <c r="K5" s="25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</row>
    <row r="6" spans="1:46" x14ac:dyDescent="0.25">
      <c r="A6" s="19"/>
      <c r="B6" s="26"/>
      <c r="C6" s="27"/>
      <c r="D6" s="27"/>
      <c r="E6" s="27"/>
      <c r="F6" s="28"/>
      <c r="G6" s="27"/>
      <c r="H6" s="28"/>
      <c r="I6" s="28"/>
      <c r="J6" s="27"/>
      <c r="K6" s="29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</row>
    <row r="7" spans="1:46" x14ac:dyDescent="0.25">
      <c r="A7" s="19"/>
      <c r="B7" s="26"/>
      <c r="C7" s="27"/>
      <c r="D7" s="27"/>
      <c r="E7" s="27"/>
      <c r="F7" s="27"/>
      <c r="G7" s="30"/>
      <c r="I7" s="31"/>
      <c r="J7" s="27"/>
      <c r="K7" s="29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</row>
    <row r="8" spans="1:46" x14ac:dyDescent="0.25">
      <c r="A8" s="19"/>
      <c r="B8" s="26"/>
      <c r="C8" s="27"/>
      <c r="D8" s="27"/>
      <c r="E8" s="27"/>
      <c r="G8" s="27"/>
      <c r="H8" s="27"/>
      <c r="I8" s="27"/>
      <c r="J8" s="27"/>
      <c r="K8" s="29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</row>
    <row r="9" spans="1:46" x14ac:dyDescent="0.25">
      <c r="A9" s="19"/>
      <c r="B9" s="26"/>
      <c r="C9" s="27"/>
      <c r="D9" s="27"/>
      <c r="E9" s="27"/>
      <c r="F9" s="27"/>
      <c r="G9" s="27"/>
      <c r="H9" s="27"/>
      <c r="I9" s="28"/>
      <c r="J9" s="27"/>
      <c r="K9" s="29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</row>
    <row r="10" spans="1:46" x14ac:dyDescent="0.25">
      <c r="A10" s="19"/>
      <c r="B10" s="26"/>
      <c r="C10" s="27"/>
      <c r="D10" s="27"/>
      <c r="E10" s="27"/>
      <c r="F10" s="27"/>
      <c r="G10" s="27"/>
      <c r="H10" s="27"/>
      <c r="I10" s="28"/>
      <c r="J10" s="27"/>
      <c r="K10" s="29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</row>
    <row r="11" spans="1:46" x14ac:dyDescent="0.25">
      <c r="A11" s="19"/>
      <c r="B11" s="26"/>
      <c r="C11" s="27"/>
      <c r="D11" s="27"/>
      <c r="E11" s="27"/>
      <c r="F11" s="27"/>
      <c r="G11" s="27"/>
      <c r="H11" s="27"/>
      <c r="I11" s="27"/>
      <c r="J11" s="27"/>
      <c r="K11" s="29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</row>
    <row r="12" spans="1:46" ht="15.75" thickBot="1" x14ac:dyDescent="0.3">
      <c r="A12" s="19"/>
      <c r="B12" s="32"/>
      <c r="C12" s="33"/>
      <c r="D12" s="33"/>
      <c r="E12" s="33"/>
      <c r="F12" s="33"/>
      <c r="G12" s="33"/>
      <c r="H12" s="33"/>
      <c r="I12" s="33"/>
      <c r="J12" s="33"/>
      <c r="K12" s="34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</row>
    <row r="13" spans="1:46" ht="15.75" thickTop="1" x14ac:dyDescent="0.25">
      <c r="A13" s="19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</row>
    <row r="14" spans="1:46" x14ac:dyDescent="0.25">
      <c r="A14" s="19"/>
      <c r="B14" s="12"/>
      <c r="C14" s="12"/>
      <c r="D14" s="12"/>
      <c r="E14" s="36"/>
      <c r="F14" s="12"/>
      <c r="G14" s="12"/>
      <c r="H14" s="12"/>
      <c r="I14" s="12"/>
      <c r="J14" s="12"/>
      <c r="K14" s="12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</row>
    <row r="15" spans="1:46" ht="34.5" x14ac:dyDescent="0.45">
      <c r="A15" s="19"/>
      <c r="B15" s="13" t="s">
        <v>4</v>
      </c>
      <c r="C15" s="15"/>
      <c r="D15" s="38">
        <f>'Fanduel MLB Solver'!Q13</f>
        <v>0</v>
      </c>
      <c r="E15" s="36"/>
      <c r="F15" s="41" t="e">
        <f>'Fanduel MLB Solver'!Q24</f>
        <v>#N/A</v>
      </c>
      <c r="G15" s="40" t="e">
        <f>'Fanduel MLB Solver'!Q25</f>
        <v>#N/A</v>
      </c>
      <c r="H15" s="41" t="e">
        <f>'Fanduel MLB Solver'!Q26</f>
        <v>#N/A</v>
      </c>
      <c r="I15" s="40" t="e">
        <f>'Fanduel MLB Solver'!Q27</f>
        <v>#N/A</v>
      </c>
      <c r="J15" s="40"/>
      <c r="K15" s="12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</row>
    <row r="16" spans="1:46" ht="27" x14ac:dyDescent="0.35">
      <c r="A16" s="19"/>
      <c r="B16" s="13" t="s">
        <v>5</v>
      </c>
      <c r="C16" s="15"/>
      <c r="D16" s="39">
        <f>'Fanduel MLB Solver'!Q10</f>
        <v>0</v>
      </c>
      <c r="E16" s="36"/>
      <c r="F16" s="40"/>
      <c r="G16" s="40"/>
      <c r="H16" s="40"/>
      <c r="I16" s="40"/>
      <c r="J16" s="40"/>
      <c r="K16" s="12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</row>
    <row r="17" spans="1:46" ht="27" x14ac:dyDescent="0.35">
      <c r="A17" s="19"/>
      <c r="B17" s="13"/>
      <c r="C17" s="16"/>
      <c r="D17" s="14"/>
      <c r="E17" s="37"/>
      <c r="F17" s="40" t="e">
        <f>'Fanduel MLB Solver'!Q28</f>
        <v>#N/A</v>
      </c>
      <c r="G17" s="41" t="e">
        <f>'Fanduel MLB Solver'!Q29</f>
        <v>#N/A</v>
      </c>
      <c r="H17" s="40" t="e">
        <f>'Fanduel MLB Solver'!Q30</f>
        <v>#N/A</v>
      </c>
      <c r="I17" s="41"/>
      <c r="J17" s="40"/>
      <c r="K17" s="17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</row>
    <row r="18" spans="1:46" x14ac:dyDescent="0.25">
      <c r="A18" s="19"/>
      <c r="B18" s="12"/>
      <c r="C18" s="17"/>
      <c r="D18" s="17"/>
      <c r="E18" s="37"/>
      <c r="F18" s="12"/>
      <c r="G18" s="17"/>
      <c r="H18" s="17"/>
      <c r="I18" s="17"/>
      <c r="J18" s="17"/>
      <c r="K18" s="17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</row>
    <row r="19" spans="1:46" x14ac:dyDescent="0.25">
      <c r="A19" s="19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</row>
    <row r="20" spans="1:46" x14ac:dyDescent="0.25">
      <c r="A20" s="19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</row>
    <row r="21" spans="1:46" x14ac:dyDescent="0.25">
      <c r="A21" s="19"/>
      <c r="B21" s="22"/>
      <c r="C21" s="23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1"/>
      <c r="W21" s="21"/>
      <c r="X21" s="21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</row>
    <row r="22" spans="1:46" x14ac:dyDescent="0.25">
      <c r="A22" s="19"/>
      <c r="B22" s="22"/>
      <c r="C22" s="23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1"/>
      <c r="W22" s="21"/>
      <c r="X22" s="21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</row>
    <row r="23" spans="1:46" x14ac:dyDescent="0.25">
      <c r="A23" s="19"/>
      <c r="B23" s="22"/>
      <c r="C23" s="23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1"/>
      <c r="W23" s="21"/>
      <c r="X23" s="21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</row>
    <row r="24" spans="1:46" x14ac:dyDescent="0.25">
      <c r="A24" s="19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1"/>
      <c r="W24" s="21"/>
      <c r="X24" s="21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</row>
    <row r="25" spans="1:46" x14ac:dyDescent="0.25">
      <c r="A25" s="19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1"/>
      <c r="W25" s="21"/>
      <c r="X25" s="21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23"/>
    </row>
    <row r="26" spans="1:46" x14ac:dyDescent="0.25">
      <c r="A26" s="19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1"/>
      <c r="W26" s="21"/>
      <c r="X26" s="21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</row>
    <row r="27" spans="1:46" x14ac:dyDescent="0.25">
      <c r="A27" s="19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</row>
    <row r="28" spans="1:46" x14ac:dyDescent="0.25">
      <c r="A28" s="19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</row>
    <row r="29" spans="1:46" x14ac:dyDescent="0.25">
      <c r="A29" s="19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</row>
    <row r="30" spans="1:46" x14ac:dyDescent="0.25">
      <c r="A30" s="19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</row>
    <row r="31" spans="1:46" x14ac:dyDescent="0.25">
      <c r="A31" s="19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</row>
    <row r="32" spans="1:46" x14ac:dyDescent="0.25">
      <c r="A32" s="19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</row>
    <row r="33" spans="1:46" x14ac:dyDescent="0.25">
      <c r="A33" s="19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</row>
    <row r="34" spans="1:46" x14ac:dyDescent="0.25">
      <c r="A34" s="19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</row>
    <row r="35" spans="1:46" x14ac:dyDescent="0.25">
      <c r="A35" s="19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</row>
    <row r="36" spans="1:46" x14ac:dyDescent="0.25">
      <c r="A36" s="19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</row>
    <row r="37" spans="1:46" x14ac:dyDescent="0.25">
      <c r="A37" s="19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</row>
    <row r="38" spans="1:46" x14ac:dyDescent="0.25">
      <c r="A38" s="19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</row>
    <row r="39" spans="1:46" x14ac:dyDescent="0.25">
      <c r="A39" s="19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</row>
    <row r="40" spans="1:46" x14ac:dyDescent="0.25">
      <c r="A40" s="19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</row>
    <row r="41" spans="1:46" x14ac:dyDescent="0.25">
      <c r="A41" s="19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</row>
    <row r="42" spans="1:46" x14ac:dyDescent="0.25">
      <c r="A42" s="19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</row>
    <row r="43" spans="1:46" x14ac:dyDescent="0.25">
      <c r="A43" s="19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</row>
    <row r="44" spans="1:46" x14ac:dyDescent="0.25">
      <c r="A44" s="19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</row>
    <row r="45" spans="1:46" x14ac:dyDescent="0.25">
      <c r="A45" s="19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</row>
    <row r="46" spans="1:46" x14ac:dyDescent="0.25">
      <c r="A46" s="19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</row>
    <row r="47" spans="1:46" x14ac:dyDescent="0.25">
      <c r="A47" s="19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</row>
    <row r="48" spans="1:46" x14ac:dyDescent="0.25">
      <c r="A48" s="19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</row>
    <row r="49" spans="1:46" x14ac:dyDescent="0.25">
      <c r="A49" s="19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</row>
    <row r="50" spans="1:46" x14ac:dyDescent="0.25">
      <c r="A50" s="19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</row>
    <row r="51" spans="1:46" x14ac:dyDescent="0.25">
      <c r="A51" s="19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</row>
    <row r="52" spans="1:46" x14ac:dyDescent="0.25">
      <c r="A52" s="19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  <c r="AO52" s="23"/>
      <c r="AP52" s="23"/>
      <c r="AQ52" s="23"/>
      <c r="AR52" s="23"/>
      <c r="AS52" s="23"/>
      <c r="AT52" s="23"/>
    </row>
    <row r="53" spans="1:46" x14ac:dyDescent="0.25">
      <c r="A53" s="19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  <c r="AO53" s="23"/>
      <c r="AP53" s="23"/>
      <c r="AQ53" s="23"/>
      <c r="AR53" s="23"/>
      <c r="AS53" s="23"/>
      <c r="AT53" s="23"/>
    </row>
    <row r="54" spans="1:46" x14ac:dyDescent="0.25">
      <c r="A54" s="19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</row>
    <row r="55" spans="1:46" x14ac:dyDescent="0.25">
      <c r="A55" s="19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  <c r="AO55" s="23"/>
      <c r="AP55" s="23"/>
      <c r="AQ55" s="23"/>
      <c r="AR55" s="23"/>
      <c r="AS55" s="23"/>
      <c r="AT55" s="23"/>
    </row>
    <row r="56" spans="1:46" x14ac:dyDescent="0.25">
      <c r="A56" s="19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23"/>
      <c r="AR56" s="23"/>
      <c r="AS56" s="23"/>
      <c r="AT56" s="23"/>
    </row>
    <row r="57" spans="1:46" x14ac:dyDescent="0.25">
      <c r="A57" s="19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</row>
    <row r="58" spans="1:46" x14ac:dyDescent="0.25">
      <c r="A58" s="19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</row>
    <row r="59" spans="1:46" x14ac:dyDescent="0.25">
      <c r="A59" s="19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</row>
    <row r="60" spans="1:46" x14ac:dyDescent="0.25">
      <c r="A60" s="19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</row>
    <row r="61" spans="1:46" x14ac:dyDescent="0.25">
      <c r="A61" s="19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  <c r="AO61" s="23"/>
      <c r="AP61" s="23"/>
      <c r="AQ61" s="23"/>
      <c r="AR61" s="23"/>
      <c r="AS61" s="23"/>
      <c r="AT61" s="23"/>
    </row>
    <row r="62" spans="1:46" x14ac:dyDescent="0.25">
      <c r="A62" s="19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  <c r="AO62" s="23"/>
      <c r="AP62" s="23"/>
      <c r="AQ62" s="23"/>
      <c r="AR62" s="23"/>
      <c r="AS62" s="23"/>
      <c r="AT62" s="23"/>
    </row>
    <row r="63" spans="1:46" x14ac:dyDescent="0.25">
      <c r="A63" s="19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  <c r="AO63" s="23"/>
      <c r="AP63" s="23"/>
      <c r="AQ63" s="23"/>
      <c r="AR63" s="23"/>
      <c r="AS63" s="23"/>
      <c r="AT63" s="23"/>
    </row>
    <row r="64" spans="1:46" x14ac:dyDescent="0.25">
      <c r="A64" s="19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3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  <c r="AO64" s="23"/>
      <c r="AP64" s="23"/>
      <c r="AQ64" s="23"/>
      <c r="AR64" s="23"/>
      <c r="AS64" s="23"/>
      <c r="AT64" s="23"/>
    </row>
    <row r="65" spans="1:46" x14ac:dyDescent="0.25">
      <c r="A65" s="19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3"/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  <c r="AO65" s="23"/>
      <c r="AP65" s="23"/>
      <c r="AQ65" s="23"/>
      <c r="AR65" s="23"/>
      <c r="AS65" s="23"/>
      <c r="AT65" s="23"/>
    </row>
    <row r="66" spans="1:46" x14ac:dyDescent="0.25">
      <c r="A66" s="19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3"/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  <c r="AO66" s="23"/>
      <c r="AP66" s="23"/>
      <c r="AQ66" s="23"/>
      <c r="AR66" s="23"/>
      <c r="AS66" s="23"/>
      <c r="AT66" s="23"/>
    </row>
    <row r="67" spans="1:46" x14ac:dyDescent="0.25">
      <c r="A67" s="19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</row>
    <row r="68" spans="1:46" x14ac:dyDescent="0.25">
      <c r="A68" s="19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3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  <c r="AO68" s="23"/>
      <c r="AP68" s="23"/>
      <c r="AQ68" s="23"/>
      <c r="AR68" s="23"/>
      <c r="AS68" s="23"/>
      <c r="AT68" s="23"/>
    </row>
    <row r="69" spans="1:46" x14ac:dyDescent="0.25">
      <c r="A69" s="19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3"/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  <c r="AO69" s="23"/>
      <c r="AP69" s="23"/>
      <c r="AQ69" s="23"/>
      <c r="AR69" s="23"/>
      <c r="AS69" s="23"/>
      <c r="AT69" s="23"/>
    </row>
    <row r="70" spans="1:46" x14ac:dyDescent="0.25">
      <c r="A70" s="19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3"/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  <c r="AO70" s="23"/>
      <c r="AP70" s="23"/>
      <c r="AQ70" s="23"/>
      <c r="AR70" s="23"/>
      <c r="AS70" s="23"/>
      <c r="AT70" s="23"/>
    </row>
    <row r="71" spans="1:46" x14ac:dyDescent="0.25">
      <c r="A71" s="19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3"/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  <c r="AO71" s="23"/>
      <c r="AP71" s="23"/>
      <c r="AQ71" s="23"/>
      <c r="AR71" s="23"/>
      <c r="AS71" s="23"/>
      <c r="AT71" s="23"/>
    </row>
    <row r="72" spans="1:46" x14ac:dyDescent="0.25">
      <c r="A72" s="19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3"/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  <c r="AO72" s="23"/>
      <c r="AP72" s="23"/>
      <c r="AQ72" s="23"/>
      <c r="AR72" s="23"/>
      <c r="AS72" s="23"/>
      <c r="AT72" s="23"/>
    </row>
    <row r="73" spans="1:46" x14ac:dyDescent="0.25">
      <c r="A73" s="19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3"/>
      <c r="W73" s="23"/>
      <c r="X73" s="23"/>
      <c r="Y73" s="23"/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  <c r="AO73" s="23"/>
      <c r="AP73" s="23"/>
      <c r="AQ73" s="23"/>
      <c r="AR73" s="23"/>
      <c r="AS73" s="23"/>
      <c r="AT73" s="23"/>
    </row>
    <row r="74" spans="1:46" x14ac:dyDescent="0.25">
      <c r="A74" s="19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3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  <c r="AO74" s="23"/>
      <c r="AP74" s="23"/>
      <c r="AQ74" s="23"/>
      <c r="AR74" s="23"/>
      <c r="AS74" s="23"/>
      <c r="AT74" s="23"/>
    </row>
    <row r="75" spans="1:46" x14ac:dyDescent="0.25">
      <c r="A75" s="19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3"/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  <c r="AO75" s="23"/>
      <c r="AP75" s="23"/>
      <c r="AQ75" s="23"/>
      <c r="AR75" s="23"/>
      <c r="AS75" s="23"/>
      <c r="AT75" s="23"/>
    </row>
    <row r="76" spans="1:46" x14ac:dyDescent="0.25">
      <c r="A76" s="19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3"/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  <c r="AO76" s="23"/>
      <c r="AP76" s="23"/>
      <c r="AQ76" s="23"/>
      <c r="AR76" s="23"/>
      <c r="AS76" s="23"/>
      <c r="AT76" s="23"/>
    </row>
    <row r="77" spans="1:46" x14ac:dyDescent="0.25">
      <c r="A77" s="19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3"/>
      <c r="W77" s="23"/>
      <c r="X77" s="23"/>
      <c r="Y77" s="23"/>
      <c r="Z77" s="23"/>
      <c r="AA77" s="23"/>
      <c r="AB77" s="23"/>
      <c r="AC77" s="23"/>
      <c r="AD77" s="23"/>
      <c r="AE77" s="23"/>
      <c r="AF77" s="23"/>
      <c r="AG77" s="23"/>
      <c r="AH77" s="23"/>
      <c r="AI77" s="23"/>
      <c r="AJ77" s="23"/>
      <c r="AK77" s="23"/>
      <c r="AL77" s="23"/>
      <c r="AM77" s="23"/>
      <c r="AN77" s="23"/>
      <c r="AO77" s="23"/>
      <c r="AP77" s="23"/>
      <c r="AQ77" s="23"/>
      <c r="AR77" s="23"/>
      <c r="AS77" s="23"/>
      <c r="AT77" s="23"/>
    </row>
    <row r="78" spans="1:46" x14ac:dyDescent="0.25">
      <c r="A78" s="19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3"/>
      <c r="W78" s="23"/>
      <c r="X78" s="23"/>
      <c r="Y78" s="23"/>
      <c r="Z78" s="23"/>
      <c r="AA78" s="23"/>
      <c r="AB78" s="23"/>
      <c r="AC78" s="23"/>
      <c r="AD78" s="23"/>
      <c r="AE78" s="23"/>
      <c r="AF78" s="23"/>
      <c r="AG78" s="23"/>
      <c r="AH78" s="23"/>
      <c r="AI78" s="23"/>
      <c r="AJ78" s="23"/>
      <c r="AK78" s="23"/>
      <c r="AL78" s="23"/>
      <c r="AM78" s="23"/>
      <c r="AN78" s="23"/>
      <c r="AO78" s="23"/>
      <c r="AP78" s="23"/>
      <c r="AQ78" s="23"/>
      <c r="AR78" s="23"/>
      <c r="AS78" s="23"/>
      <c r="AT78" s="23"/>
    </row>
    <row r="79" spans="1:46" x14ac:dyDescent="0.25">
      <c r="A79" s="19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3"/>
      <c r="W79" s="23"/>
      <c r="X79" s="23"/>
      <c r="Y79" s="23"/>
      <c r="Z79" s="23"/>
      <c r="AA79" s="23"/>
      <c r="AB79" s="23"/>
      <c r="AC79" s="23"/>
      <c r="AD79" s="23"/>
      <c r="AE79" s="23"/>
      <c r="AF79" s="23"/>
      <c r="AG79" s="23"/>
      <c r="AH79" s="23"/>
      <c r="AI79" s="23"/>
      <c r="AJ79" s="23"/>
      <c r="AK79" s="23"/>
      <c r="AL79" s="23"/>
      <c r="AM79" s="23"/>
      <c r="AN79" s="23"/>
      <c r="AO79" s="23"/>
      <c r="AP79" s="23"/>
      <c r="AQ79" s="23"/>
      <c r="AR79" s="23"/>
      <c r="AS79" s="23"/>
      <c r="AT79" s="23"/>
    </row>
    <row r="80" spans="1:46" x14ac:dyDescent="0.25">
      <c r="A80" s="19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3"/>
      <c r="W80" s="23"/>
      <c r="X80" s="23"/>
      <c r="Y80" s="23"/>
      <c r="Z80" s="23"/>
      <c r="AA80" s="23"/>
      <c r="AB80" s="23"/>
      <c r="AC80" s="23"/>
      <c r="AD80" s="23"/>
      <c r="AE80" s="23"/>
      <c r="AF80" s="23"/>
      <c r="AG80" s="23"/>
      <c r="AH80" s="23"/>
      <c r="AI80" s="23"/>
      <c r="AJ80" s="23"/>
      <c r="AK80" s="23"/>
      <c r="AL80" s="23"/>
      <c r="AM80" s="23"/>
      <c r="AN80" s="23"/>
      <c r="AO80" s="23"/>
      <c r="AP80" s="23"/>
      <c r="AQ80" s="23"/>
      <c r="AR80" s="23"/>
      <c r="AS80" s="23"/>
      <c r="AT80" s="23"/>
    </row>
    <row r="81" spans="1:46" x14ac:dyDescent="0.25">
      <c r="A81" s="19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3"/>
      <c r="W81" s="23"/>
      <c r="X81" s="23"/>
      <c r="Y81" s="23"/>
      <c r="Z81" s="23"/>
      <c r="AA81" s="23"/>
      <c r="AB81" s="23"/>
      <c r="AC81" s="23"/>
      <c r="AD81" s="23"/>
      <c r="AE81" s="23"/>
      <c r="AF81" s="23"/>
      <c r="AG81" s="23"/>
      <c r="AH81" s="23"/>
      <c r="AI81" s="23"/>
      <c r="AJ81" s="23"/>
      <c r="AK81" s="23"/>
      <c r="AL81" s="23"/>
      <c r="AM81" s="23"/>
      <c r="AN81" s="23"/>
      <c r="AO81" s="23"/>
      <c r="AP81" s="23"/>
      <c r="AQ81" s="23"/>
      <c r="AR81" s="23"/>
      <c r="AS81" s="23"/>
      <c r="AT81" s="23"/>
    </row>
    <row r="82" spans="1:46" x14ac:dyDescent="0.25">
      <c r="A82" s="19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3"/>
      <c r="W82" s="23"/>
      <c r="X82" s="23"/>
      <c r="Y82" s="23"/>
      <c r="Z82" s="23"/>
      <c r="AA82" s="23"/>
      <c r="AB82" s="23"/>
      <c r="AC82" s="23"/>
      <c r="AD82" s="23"/>
      <c r="AE82" s="23"/>
      <c r="AF82" s="23"/>
      <c r="AG82" s="23"/>
      <c r="AH82" s="23"/>
      <c r="AI82" s="23"/>
      <c r="AJ82" s="23"/>
      <c r="AK82" s="23"/>
      <c r="AL82" s="23"/>
      <c r="AM82" s="23"/>
      <c r="AN82" s="23"/>
      <c r="AO82" s="23"/>
      <c r="AP82" s="23"/>
      <c r="AQ82" s="23"/>
      <c r="AR82" s="23"/>
      <c r="AS82" s="23"/>
      <c r="AT82" s="23"/>
    </row>
    <row r="83" spans="1:46" x14ac:dyDescent="0.25">
      <c r="A83" s="19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3"/>
      <c r="W83" s="23"/>
      <c r="X83" s="23"/>
      <c r="Y83" s="23"/>
      <c r="Z83" s="23"/>
      <c r="AA83" s="23"/>
      <c r="AB83" s="23"/>
      <c r="AC83" s="23"/>
      <c r="AD83" s="23"/>
      <c r="AE83" s="23"/>
      <c r="AF83" s="23"/>
      <c r="AG83" s="23"/>
      <c r="AH83" s="23"/>
      <c r="AI83" s="23"/>
      <c r="AJ83" s="23"/>
      <c r="AK83" s="23"/>
      <c r="AL83" s="23"/>
      <c r="AM83" s="23"/>
      <c r="AN83" s="23"/>
      <c r="AO83" s="23"/>
      <c r="AP83" s="23"/>
      <c r="AQ83" s="23"/>
      <c r="AR83" s="23"/>
      <c r="AS83" s="23"/>
      <c r="AT83" s="23"/>
    </row>
    <row r="84" spans="1:46" x14ac:dyDescent="0.25">
      <c r="A84" s="19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3"/>
      <c r="W84" s="23"/>
      <c r="X84" s="23"/>
      <c r="Y84" s="23"/>
      <c r="Z84" s="23"/>
      <c r="AA84" s="23"/>
      <c r="AB84" s="23"/>
      <c r="AC84" s="23"/>
      <c r="AD84" s="23"/>
      <c r="AE84" s="23"/>
      <c r="AF84" s="23"/>
      <c r="AG84" s="23"/>
      <c r="AH84" s="23"/>
      <c r="AI84" s="23"/>
      <c r="AJ84" s="23"/>
      <c r="AK84" s="23"/>
      <c r="AL84" s="23"/>
      <c r="AM84" s="23"/>
      <c r="AN84" s="23"/>
      <c r="AO84" s="23"/>
      <c r="AP84" s="23"/>
      <c r="AQ84" s="23"/>
      <c r="AR84" s="23"/>
      <c r="AS84" s="23"/>
      <c r="AT84" s="23"/>
    </row>
    <row r="85" spans="1:46" x14ac:dyDescent="0.25">
      <c r="A85" s="19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3"/>
      <c r="W85" s="23"/>
      <c r="X85" s="23"/>
      <c r="Y85" s="23"/>
      <c r="Z85" s="23"/>
      <c r="AA85" s="23"/>
      <c r="AB85" s="23"/>
      <c r="AC85" s="23"/>
      <c r="AD85" s="23"/>
      <c r="AE85" s="23"/>
      <c r="AF85" s="23"/>
      <c r="AG85" s="23"/>
      <c r="AH85" s="23"/>
      <c r="AI85" s="23"/>
      <c r="AJ85" s="23"/>
      <c r="AK85" s="23"/>
      <c r="AL85" s="23"/>
      <c r="AM85" s="23"/>
      <c r="AN85" s="23"/>
      <c r="AO85" s="23"/>
      <c r="AP85" s="23"/>
      <c r="AQ85" s="23"/>
      <c r="AR85" s="23"/>
      <c r="AS85" s="23"/>
      <c r="AT85" s="23"/>
    </row>
    <row r="86" spans="1:46" x14ac:dyDescent="0.25">
      <c r="A86" s="19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3"/>
      <c r="W86" s="23"/>
      <c r="X86" s="23"/>
      <c r="Y86" s="23"/>
      <c r="Z86" s="23"/>
      <c r="AA86" s="23"/>
      <c r="AB86" s="23"/>
      <c r="AC86" s="23"/>
      <c r="AD86" s="23"/>
      <c r="AE86" s="23"/>
      <c r="AF86" s="23"/>
      <c r="AG86" s="23"/>
      <c r="AH86" s="23"/>
      <c r="AI86" s="23"/>
      <c r="AJ86" s="23"/>
      <c r="AK86" s="23"/>
      <c r="AL86" s="23"/>
      <c r="AM86" s="23"/>
      <c r="AN86" s="23"/>
      <c r="AO86" s="23"/>
      <c r="AP86" s="23"/>
      <c r="AQ86" s="23"/>
      <c r="AR86" s="23"/>
      <c r="AS86" s="23"/>
      <c r="AT86" s="23"/>
    </row>
    <row r="87" spans="1:46" x14ac:dyDescent="0.25">
      <c r="A87" s="19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3"/>
      <c r="W87" s="23"/>
      <c r="X87" s="23"/>
      <c r="Y87" s="23"/>
      <c r="Z87" s="23"/>
      <c r="AA87" s="23"/>
      <c r="AB87" s="23"/>
      <c r="AC87" s="23"/>
      <c r="AD87" s="23"/>
      <c r="AE87" s="23"/>
      <c r="AF87" s="23"/>
      <c r="AG87" s="23"/>
      <c r="AH87" s="23"/>
      <c r="AI87" s="23"/>
      <c r="AJ87" s="23"/>
      <c r="AK87" s="23"/>
      <c r="AL87" s="23"/>
      <c r="AM87" s="23"/>
      <c r="AN87" s="23"/>
      <c r="AO87" s="23"/>
      <c r="AP87" s="23"/>
      <c r="AQ87" s="23"/>
      <c r="AR87" s="23"/>
      <c r="AS87" s="23"/>
      <c r="AT87" s="23"/>
    </row>
    <row r="88" spans="1:46" x14ac:dyDescent="0.25">
      <c r="A88" s="19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3"/>
      <c r="W88" s="23"/>
      <c r="X88" s="23"/>
      <c r="Y88" s="23"/>
      <c r="Z88" s="23"/>
      <c r="AA88" s="23"/>
      <c r="AB88" s="23"/>
      <c r="AC88" s="23"/>
      <c r="AD88" s="23"/>
      <c r="AE88" s="23"/>
      <c r="AF88" s="23"/>
      <c r="AG88" s="23"/>
      <c r="AH88" s="23"/>
      <c r="AI88" s="23"/>
      <c r="AJ88" s="23"/>
      <c r="AK88" s="23"/>
      <c r="AL88" s="23"/>
      <c r="AM88" s="23"/>
      <c r="AN88" s="23"/>
      <c r="AO88" s="23"/>
      <c r="AP88" s="23"/>
      <c r="AQ88" s="23"/>
      <c r="AR88" s="23"/>
      <c r="AS88" s="23"/>
      <c r="AT88" s="23"/>
    </row>
    <row r="89" spans="1:46" x14ac:dyDescent="0.25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3"/>
      <c r="AF89" s="23"/>
      <c r="AG89" s="23"/>
      <c r="AH89" s="23"/>
      <c r="AI89" s="23"/>
      <c r="AJ89" s="23"/>
      <c r="AK89" s="23"/>
      <c r="AL89" s="23"/>
      <c r="AM89" s="23"/>
      <c r="AN89" s="23"/>
      <c r="AO89" s="23"/>
      <c r="AP89" s="23"/>
      <c r="AQ89" s="23"/>
      <c r="AR89" s="23"/>
      <c r="AS89" s="23"/>
      <c r="AT89" s="23"/>
    </row>
    <row r="90" spans="1:46" x14ac:dyDescent="0.25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3"/>
      <c r="AF90" s="23"/>
      <c r="AG90" s="23"/>
      <c r="AH90" s="23"/>
      <c r="AI90" s="23"/>
      <c r="AJ90" s="23"/>
      <c r="AK90" s="23"/>
      <c r="AL90" s="23"/>
      <c r="AM90" s="23"/>
      <c r="AN90" s="23"/>
      <c r="AO90" s="23"/>
      <c r="AP90" s="23"/>
      <c r="AQ90" s="23"/>
      <c r="AR90" s="23"/>
      <c r="AS90" s="23"/>
      <c r="AT90" s="23"/>
    </row>
    <row r="91" spans="1:46" x14ac:dyDescent="0.25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3"/>
      <c r="AF91" s="23"/>
      <c r="AG91" s="23"/>
      <c r="AH91" s="23"/>
      <c r="AI91" s="23"/>
      <c r="AJ91" s="23"/>
      <c r="AK91" s="23"/>
      <c r="AL91" s="23"/>
      <c r="AM91" s="23"/>
      <c r="AN91" s="23"/>
      <c r="AO91" s="23"/>
      <c r="AP91" s="23"/>
      <c r="AQ91" s="23"/>
      <c r="AR91" s="23"/>
      <c r="AS91" s="23"/>
      <c r="AT91" s="23"/>
    </row>
    <row r="92" spans="1:46" x14ac:dyDescent="0.25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3"/>
      <c r="AF92" s="23"/>
      <c r="AG92" s="23"/>
      <c r="AH92" s="23"/>
      <c r="AI92" s="23"/>
      <c r="AJ92" s="23"/>
      <c r="AK92" s="23"/>
      <c r="AL92" s="23"/>
      <c r="AM92" s="23"/>
      <c r="AN92" s="23"/>
      <c r="AO92" s="23"/>
      <c r="AP92" s="23"/>
      <c r="AQ92" s="23"/>
      <c r="AR92" s="23"/>
      <c r="AS92" s="23"/>
      <c r="AT92" s="23"/>
    </row>
    <row r="93" spans="1:46" x14ac:dyDescent="0.25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3"/>
      <c r="AF93" s="23"/>
      <c r="AG93" s="23"/>
      <c r="AH93" s="23"/>
      <c r="AI93" s="23"/>
      <c r="AJ93" s="23"/>
      <c r="AK93" s="23"/>
      <c r="AL93" s="23"/>
      <c r="AM93" s="23"/>
      <c r="AN93" s="23"/>
      <c r="AO93" s="23"/>
      <c r="AP93" s="23"/>
      <c r="AQ93" s="23"/>
      <c r="AR93" s="23"/>
      <c r="AS93" s="23"/>
      <c r="AT93" s="23"/>
    </row>
    <row r="94" spans="1:46" x14ac:dyDescent="0.25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3"/>
      <c r="AF94" s="23"/>
      <c r="AG94" s="23"/>
      <c r="AH94" s="23"/>
      <c r="AI94" s="23"/>
      <c r="AJ94" s="23"/>
      <c r="AK94" s="23"/>
      <c r="AL94" s="23"/>
      <c r="AM94" s="23"/>
      <c r="AN94" s="23"/>
      <c r="AO94" s="23"/>
      <c r="AP94" s="23"/>
      <c r="AQ94" s="23"/>
      <c r="AR94" s="23"/>
      <c r="AS94" s="23"/>
      <c r="AT94" s="23"/>
    </row>
    <row r="95" spans="1:46" x14ac:dyDescent="0.25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3"/>
      <c r="AF95" s="23"/>
      <c r="AG95" s="23"/>
      <c r="AH95" s="23"/>
      <c r="AI95" s="23"/>
      <c r="AJ95" s="23"/>
      <c r="AK95" s="23"/>
      <c r="AL95" s="23"/>
      <c r="AM95" s="23"/>
      <c r="AN95" s="23"/>
      <c r="AO95" s="23"/>
      <c r="AP95" s="23"/>
      <c r="AQ95" s="23"/>
      <c r="AR95" s="23"/>
      <c r="AS95" s="23"/>
      <c r="AT95" s="23"/>
    </row>
    <row r="96" spans="1:46" x14ac:dyDescent="0.25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3"/>
      <c r="AF96" s="23"/>
      <c r="AG96" s="23"/>
      <c r="AH96" s="23"/>
      <c r="AI96" s="23"/>
      <c r="AJ96" s="23"/>
      <c r="AK96" s="23"/>
      <c r="AL96" s="23"/>
      <c r="AM96" s="23"/>
      <c r="AN96" s="23"/>
      <c r="AO96" s="23"/>
      <c r="AP96" s="23"/>
      <c r="AQ96" s="23"/>
      <c r="AR96" s="23"/>
      <c r="AS96" s="23"/>
      <c r="AT96" s="23"/>
    </row>
    <row r="97" spans="2:46" x14ac:dyDescent="0.25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3"/>
      <c r="AF97" s="23"/>
      <c r="AG97" s="23"/>
      <c r="AH97" s="23"/>
      <c r="AI97" s="23"/>
      <c r="AJ97" s="23"/>
      <c r="AK97" s="23"/>
      <c r="AL97" s="23"/>
      <c r="AM97" s="23"/>
      <c r="AN97" s="23"/>
      <c r="AO97" s="23"/>
      <c r="AP97" s="23"/>
      <c r="AQ97" s="23"/>
      <c r="AR97" s="23"/>
      <c r="AS97" s="23"/>
      <c r="AT97" s="23"/>
    </row>
    <row r="98" spans="2:46" x14ac:dyDescent="0.25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</row>
    <row r="99" spans="2:46" x14ac:dyDescent="0.25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</row>
    <row r="100" spans="2:46" x14ac:dyDescent="0.25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</row>
    <row r="101" spans="2:46" x14ac:dyDescent="0.25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3"/>
      <c r="AF101" s="23"/>
      <c r="AG101" s="23"/>
      <c r="AH101" s="23"/>
      <c r="AI101" s="23"/>
      <c r="AJ101" s="23"/>
      <c r="AK101" s="23"/>
      <c r="AL101" s="23"/>
      <c r="AM101" s="23"/>
      <c r="AN101" s="23"/>
      <c r="AO101" s="23"/>
      <c r="AP101" s="23"/>
      <c r="AQ101" s="23"/>
      <c r="AR101" s="23"/>
      <c r="AS101" s="23"/>
      <c r="AT101" s="23"/>
    </row>
    <row r="102" spans="2:46" x14ac:dyDescent="0.25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3"/>
      <c r="AF102" s="23"/>
      <c r="AG102" s="23"/>
      <c r="AH102" s="23"/>
      <c r="AI102" s="23"/>
      <c r="AJ102" s="23"/>
      <c r="AK102" s="23"/>
      <c r="AL102" s="23"/>
      <c r="AM102" s="23"/>
      <c r="AN102" s="23"/>
      <c r="AO102" s="23"/>
      <c r="AP102" s="23"/>
      <c r="AQ102" s="23"/>
      <c r="AR102" s="23"/>
      <c r="AS102" s="23"/>
      <c r="AT102" s="23"/>
    </row>
    <row r="103" spans="2:46" x14ac:dyDescent="0.25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3"/>
      <c r="AF103" s="23"/>
      <c r="AG103" s="23"/>
      <c r="AH103" s="23"/>
      <c r="AI103" s="23"/>
      <c r="AJ103" s="23"/>
      <c r="AK103" s="23"/>
      <c r="AL103" s="23"/>
      <c r="AM103" s="23"/>
      <c r="AN103" s="23"/>
      <c r="AO103" s="23"/>
      <c r="AP103" s="23"/>
      <c r="AQ103" s="23"/>
      <c r="AR103" s="23"/>
      <c r="AS103" s="23"/>
      <c r="AT103" s="23"/>
    </row>
    <row r="104" spans="2:46" x14ac:dyDescent="0.25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3"/>
      <c r="AF104" s="23"/>
      <c r="AG104" s="23"/>
      <c r="AH104" s="23"/>
      <c r="AI104" s="23"/>
      <c r="AJ104" s="23"/>
      <c r="AK104" s="23"/>
      <c r="AL104" s="23"/>
      <c r="AM104" s="23"/>
      <c r="AN104" s="23"/>
      <c r="AO104" s="23"/>
      <c r="AP104" s="23"/>
      <c r="AQ104" s="23"/>
      <c r="AR104" s="23"/>
      <c r="AS104" s="23"/>
      <c r="AT104" s="23"/>
    </row>
    <row r="105" spans="2:46" x14ac:dyDescent="0.25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3"/>
      <c r="AF105" s="23"/>
      <c r="AG105" s="23"/>
      <c r="AH105" s="23"/>
      <c r="AI105" s="23"/>
      <c r="AJ105" s="23"/>
      <c r="AK105" s="23"/>
      <c r="AL105" s="23"/>
      <c r="AM105" s="23"/>
      <c r="AN105" s="23"/>
      <c r="AO105" s="23"/>
      <c r="AP105" s="23"/>
      <c r="AQ105" s="23"/>
      <c r="AR105" s="23"/>
      <c r="AS105" s="23"/>
      <c r="AT105" s="23"/>
    </row>
    <row r="106" spans="2:46" x14ac:dyDescent="0.25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3"/>
      <c r="AF106" s="23"/>
      <c r="AG106" s="23"/>
      <c r="AH106" s="23"/>
      <c r="AI106" s="23"/>
      <c r="AJ106" s="23"/>
      <c r="AK106" s="23"/>
      <c r="AL106" s="23"/>
      <c r="AM106" s="23"/>
      <c r="AN106" s="23"/>
      <c r="AO106" s="23"/>
      <c r="AP106" s="23"/>
      <c r="AQ106" s="23"/>
      <c r="AR106" s="23"/>
      <c r="AS106" s="23"/>
      <c r="AT106" s="23"/>
    </row>
    <row r="107" spans="2:46" x14ac:dyDescent="0.25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3"/>
      <c r="AF107" s="23"/>
      <c r="AG107" s="23"/>
      <c r="AH107" s="23"/>
      <c r="AI107" s="23"/>
      <c r="AJ107" s="23"/>
      <c r="AK107" s="23"/>
      <c r="AL107" s="23"/>
      <c r="AM107" s="23"/>
      <c r="AN107" s="23"/>
      <c r="AO107" s="23"/>
      <c r="AP107" s="23"/>
      <c r="AQ107" s="23"/>
      <c r="AR107" s="23"/>
      <c r="AS107" s="23"/>
      <c r="AT107" s="23"/>
    </row>
    <row r="108" spans="2:46" x14ac:dyDescent="0.25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3"/>
      <c r="AF108" s="23"/>
      <c r="AG108" s="23"/>
      <c r="AH108" s="23"/>
      <c r="AI108" s="23"/>
      <c r="AJ108" s="23"/>
      <c r="AK108" s="23"/>
      <c r="AL108" s="23"/>
      <c r="AM108" s="23"/>
      <c r="AN108" s="23"/>
      <c r="AO108" s="23"/>
      <c r="AP108" s="23"/>
      <c r="AQ108" s="23"/>
      <c r="AR108" s="23"/>
      <c r="AS108" s="23"/>
      <c r="AT108" s="23"/>
    </row>
    <row r="109" spans="2:46" x14ac:dyDescent="0.25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3"/>
      <c r="AF109" s="23"/>
      <c r="AG109" s="23"/>
      <c r="AH109" s="23"/>
      <c r="AI109" s="23"/>
      <c r="AJ109" s="23"/>
      <c r="AK109" s="23"/>
      <c r="AL109" s="23"/>
      <c r="AM109" s="23"/>
      <c r="AN109" s="23"/>
      <c r="AO109" s="23"/>
      <c r="AP109" s="23"/>
      <c r="AQ109" s="23"/>
      <c r="AR109" s="23"/>
      <c r="AS109" s="23"/>
      <c r="AT109" s="23"/>
    </row>
    <row r="110" spans="2:46" x14ac:dyDescent="0.25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3"/>
      <c r="AF110" s="23"/>
      <c r="AG110" s="23"/>
      <c r="AH110" s="23"/>
      <c r="AI110" s="23"/>
      <c r="AJ110" s="23"/>
      <c r="AK110" s="23"/>
      <c r="AL110" s="23"/>
      <c r="AM110" s="23"/>
      <c r="AN110" s="23"/>
      <c r="AO110" s="23"/>
      <c r="AP110" s="23"/>
      <c r="AQ110" s="23"/>
      <c r="AR110" s="23"/>
      <c r="AS110" s="23"/>
      <c r="AT110" s="23"/>
    </row>
    <row r="111" spans="2:46" x14ac:dyDescent="0.25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3"/>
      <c r="AF111" s="23"/>
      <c r="AG111" s="23"/>
      <c r="AH111" s="23"/>
      <c r="AI111" s="23"/>
      <c r="AJ111" s="23"/>
      <c r="AK111" s="23"/>
      <c r="AL111" s="23"/>
      <c r="AM111" s="23"/>
      <c r="AN111" s="23"/>
      <c r="AO111" s="23"/>
      <c r="AP111" s="23"/>
      <c r="AQ111" s="23"/>
      <c r="AR111" s="23"/>
      <c r="AS111" s="23"/>
      <c r="AT111" s="23"/>
    </row>
    <row r="112" spans="2:46" x14ac:dyDescent="0.25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3"/>
      <c r="AF112" s="23"/>
      <c r="AG112" s="23"/>
      <c r="AH112" s="23"/>
      <c r="AI112" s="23"/>
      <c r="AJ112" s="23"/>
      <c r="AK112" s="23"/>
      <c r="AL112" s="23"/>
      <c r="AM112" s="23"/>
      <c r="AN112" s="23"/>
      <c r="AO112" s="23"/>
      <c r="AP112" s="23"/>
      <c r="AQ112" s="23"/>
      <c r="AR112" s="23"/>
      <c r="AS112" s="23"/>
      <c r="AT112" s="23"/>
    </row>
    <row r="113" spans="2:46" x14ac:dyDescent="0.25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3"/>
      <c r="AF113" s="23"/>
      <c r="AG113" s="23"/>
      <c r="AH113" s="23"/>
      <c r="AI113" s="23"/>
      <c r="AJ113" s="23"/>
      <c r="AK113" s="23"/>
      <c r="AL113" s="23"/>
      <c r="AM113" s="23"/>
      <c r="AN113" s="23"/>
      <c r="AO113" s="23"/>
      <c r="AP113" s="23"/>
      <c r="AQ113" s="23"/>
      <c r="AR113" s="23"/>
      <c r="AS113" s="23"/>
      <c r="AT113" s="23"/>
    </row>
    <row r="114" spans="2:46" x14ac:dyDescent="0.25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</row>
    <row r="115" spans="2:46" x14ac:dyDescent="0.25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</row>
    <row r="116" spans="2:46" x14ac:dyDescent="0.25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</row>
    <row r="117" spans="2:46" x14ac:dyDescent="0.25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</row>
    <row r="118" spans="2:46" x14ac:dyDescent="0.25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</row>
    <row r="119" spans="2:46" x14ac:dyDescent="0.25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</row>
    <row r="120" spans="2:46" x14ac:dyDescent="0.25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</row>
    <row r="121" spans="2:46" x14ac:dyDescent="0.25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</row>
    <row r="122" spans="2:46" x14ac:dyDescent="0.25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</row>
    <row r="123" spans="2:46" x14ac:dyDescent="0.25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</row>
  </sheetData>
  <mergeCells count="2">
    <mergeCell ref="D2:I2"/>
    <mergeCell ref="D3:I3"/>
  </mergeCell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RunAll">
                <anchor moveWithCells="1" sizeWithCells="1">
                  <from>
                    <xdr:col>2</xdr:col>
                    <xdr:colOff>85725</xdr:colOff>
                    <xdr:row>6</xdr:row>
                    <xdr:rowOff>57150</xdr:rowOff>
                  </from>
                  <to>
                    <xdr:col>4</xdr:col>
                    <xdr:colOff>400050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"/>
  <sheetViews>
    <sheetView tabSelected="1" topLeftCell="B1" workbookViewId="0">
      <selection activeCell="E15" sqref="E15"/>
    </sheetView>
  </sheetViews>
  <sheetFormatPr defaultRowHeight="15" x14ac:dyDescent="0.25"/>
  <cols>
    <col min="1" max="1" width="0" hidden="1" customWidth="1"/>
    <col min="2" max="9" width="14.28515625" customWidth="1"/>
  </cols>
  <sheetData>
    <row r="3" spans="2:2" x14ac:dyDescent="0.25">
      <c r="B3" t="s">
        <v>33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"/>
  <sheetViews>
    <sheetView topLeftCell="B1" workbookViewId="0">
      <selection activeCell="E6" sqref="E6"/>
    </sheetView>
  </sheetViews>
  <sheetFormatPr defaultRowHeight="15" x14ac:dyDescent="0.25"/>
  <cols>
    <col min="1" max="1" width="0" hidden="1" customWidth="1"/>
    <col min="2" max="18" width="14.28515625" customWidth="1"/>
  </cols>
  <sheetData>
    <row r="3" spans="2:2" x14ac:dyDescent="0.25">
      <c r="B3" t="s">
        <v>33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topLeftCell="A2" workbookViewId="0">
      <selection activeCell="B2" sqref="A1:XFD1048576"/>
    </sheetView>
  </sheetViews>
  <sheetFormatPr defaultRowHeight="15" x14ac:dyDescent="0.25"/>
  <sheetData/>
  <sortState ref="A2:I925">
    <sortCondition descending="1" ref="C2:C925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activeCell="B2" sqref="A1:XFD1048576"/>
    </sheetView>
  </sheetViews>
  <sheetFormatPr defaultRowHeight="15" x14ac:dyDescent="0.25"/>
  <sheetData/>
  <sortState ref="A2:R1115">
    <sortCondition descending="1" ref="D2:D1115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Fanduel MLB Solver</vt:lpstr>
      <vt:lpstr>Optimizer</vt:lpstr>
      <vt:lpstr>Pitchers1</vt:lpstr>
      <vt:lpstr>Batters1</vt:lpstr>
      <vt:lpstr>Pitchers</vt:lpstr>
      <vt:lpstr>Batters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Dorris</dc:creator>
  <cp:lastModifiedBy>Matt Dorris</cp:lastModifiedBy>
  <cp:lastPrinted>2017-03-25T07:50:40Z</cp:lastPrinted>
  <dcterms:created xsi:type="dcterms:W3CDTF">2017-02-02T03:49:20Z</dcterms:created>
  <dcterms:modified xsi:type="dcterms:W3CDTF">2017-07-02T03:19:34Z</dcterms:modified>
</cp:coreProperties>
</file>