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/>
  </bookViews>
  <sheets>
    <sheet name="DraftKings Basketball  Solver" sheetId="2" r:id="rId1"/>
    <sheet name="RawData" sheetId="5" r:id="rId2"/>
    <sheet name="Sheet1" sheetId="4" r:id="rId3"/>
    <sheet name="Sheet2" sheetId="6" r:id="rId4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2" i="2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M101" i="2" l="1"/>
  <c r="G101" i="2"/>
  <c r="M100" i="2"/>
  <c r="G100" i="2"/>
  <c r="M99" i="2"/>
  <c r="G99" i="2"/>
  <c r="M98" i="2"/>
  <c r="G98" i="2"/>
  <c r="M97" i="2"/>
  <c r="G97" i="2"/>
  <c r="M96" i="2"/>
  <c r="G96" i="2"/>
  <c r="M95" i="2"/>
  <c r="G95" i="2"/>
  <c r="M94" i="2"/>
  <c r="G94" i="2"/>
  <c r="M93" i="2"/>
  <c r="G93" i="2"/>
  <c r="M92" i="2"/>
  <c r="G92" i="2"/>
  <c r="M91" i="2"/>
  <c r="G91" i="2"/>
  <c r="M90" i="2"/>
  <c r="G90" i="2"/>
  <c r="M89" i="2"/>
  <c r="G89" i="2"/>
  <c r="M88" i="2"/>
  <c r="G88" i="2"/>
  <c r="M87" i="2"/>
  <c r="G87" i="2"/>
  <c r="M86" i="2"/>
  <c r="G86" i="2"/>
  <c r="M85" i="2"/>
  <c r="G85" i="2"/>
  <c r="M84" i="2"/>
  <c r="G84" i="2"/>
  <c r="M83" i="2"/>
  <c r="G83" i="2"/>
  <c r="M82" i="2"/>
  <c r="G82" i="2"/>
  <c r="M81" i="2"/>
  <c r="G81" i="2"/>
  <c r="M80" i="2"/>
  <c r="G80" i="2"/>
  <c r="M79" i="2"/>
  <c r="G79" i="2"/>
  <c r="M78" i="2"/>
  <c r="G78" i="2"/>
  <c r="M77" i="2"/>
  <c r="G77" i="2"/>
  <c r="M76" i="2"/>
  <c r="G76" i="2"/>
  <c r="M75" i="2"/>
  <c r="G75" i="2"/>
  <c r="M74" i="2"/>
  <c r="G74" i="2"/>
  <c r="M73" i="2"/>
  <c r="G73" i="2"/>
  <c r="M72" i="2"/>
  <c r="G72" i="2"/>
  <c r="M71" i="2"/>
  <c r="G71" i="2"/>
  <c r="M70" i="2"/>
  <c r="G70" i="2"/>
  <c r="M69" i="2"/>
  <c r="G69" i="2"/>
  <c r="M68" i="2"/>
  <c r="G68" i="2"/>
  <c r="M67" i="2"/>
  <c r="G67" i="2"/>
  <c r="M66" i="2"/>
  <c r="G66" i="2"/>
  <c r="M65" i="2"/>
  <c r="G65" i="2"/>
  <c r="M64" i="2"/>
  <c r="G64" i="2"/>
  <c r="M63" i="2"/>
  <c r="G63" i="2"/>
  <c r="M62" i="2"/>
  <c r="G62" i="2"/>
  <c r="M61" i="2"/>
  <c r="G61" i="2"/>
  <c r="M60" i="2"/>
  <c r="G60" i="2"/>
  <c r="M59" i="2"/>
  <c r="G59" i="2"/>
  <c r="M58" i="2"/>
  <c r="G58" i="2"/>
  <c r="M57" i="2"/>
  <c r="G57" i="2"/>
  <c r="M56" i="2"/>
  <c r="G56" i="2"/>
  <c r="M55" i="2"/>
  <c r="G55" i="2"/>
  <c r="M54" i="2"/>
  <c r="G54" i="2"/>
  <c r="M53" i="2"/>
  <c r="G53" i="2"/>
  <c r="M52" i="2"/>
  <c r="G52" i="2"/>
  <c r="M51" i="2"/>
  <c r="G51" i="2"/>
  <c r="M50" i="2"/>
  <c r="G50" i="2"/>
  <c r="M49" i="2"/>
  <c r="G49" i="2"/>
  <c r="M48" i="2"/>
  <c r="G48" i="2"/>
  <c r="M47" i="2"/>
  <c r="G47" i="2"/>
  <c r="M46" i="2"/>
  <c r="G46" i="2"/>
  <c r="M45" i="2"/>
  <c r="G45" i="2"/>
  <c r="M44" i="2"/>
  <c r="G44" i="2"/>
  <c r="M43" i="2"/>
  <c r="G43" i="2"/>
  <c r="M42" i="2"/>
  <c r="G42" i="2"/>
  <c r="M41" i="2"/>
  <c r="G41" i="2"/>
  <c r="M40" i="2"/>
  <c r="G40" i="2"/>
  <c r="M39" i="2"/>
  <c r="G39" i="2"/>
  <c r="M38" i="2"/>
  <c r="G38" i="2"/>
  <c r="M37" i="2"/>
  <c r="G37" i="2"/>
  <c r="M36" i="2"/>
  <c r="G36" i="2"/>
  <c r="M35" i="2"/>
  <c r="G35" i="2"/>
  <c r="M34" i="2"/>
  <c r="G34" i="2"/>
  <c r="M33" i="2"/>
  <c r="G33" i="2"/>
  <c r="M32" i="2"/>
  <c r="G32" i="2"/>
  <c r="M31" i="2"/>
  <c r="G31" i="2"/>
  <c r="M30" i="2"/>
  <c r="G30" i="2"/>
  <c r="M29" i="2"/>
  <c r="G29" i="2"/>
  <c r="M28" i="2"/>
  <c r="G28" i="2"/>
  <c r="M27" i="2"/>
  <c r="G27" i="2"/>
  <c r="M26" i="2"/>
  <c r="G26" i="2"/>
  <c r="M25" i="2"/>
  <c r="G25" i="2"/>
  <c r="M24" i="2"/>
  <c r="G24" i="2"/>
  <c r="M23" i="2"/>
  <c r="G23" i="2"/>
  <c r="M22" i="2"/>
  <c r="G22" i="2"/>
  <c r="M21" i="2"/>
  <c r="G21" i="2"/>
  <c r="M20" i="2"/>
  <c r="G20" i="2"/>
  <c r="M19" i="2"/>
  <c r="G19" i="2"/>
  <c r="M18" i="2"/>
  <c r="G18" i="2"/>
  <c r="M17" i="2"/>
  <c r="G17" i="2"/>
  <c r="M16" i="2"/>
  <c r="G16" i="2"/>
  <c r="M15" i="2"/>
  <c r="G15" i="2"/>
  <c r="O14" i="2"/>
  <c r="M14" i="2"/>
  <c r="G14" i="2"/>
  <c r="M13" i="2"/>
  <c r="G13" i="2"/>
  <c r="M12" i="2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M4" i="2"/>
  <c r="M5" i="2"/>
  <c r="M6" i="2"/>
  <c r="M7" i="2"/>
  <c r="M8" i="2"/>
  <c r="M9" i="2"/>
  <c r="M10" i="2"/>
  <c r="M11" i="2"/>
  <c r="M2" i="2"/>
  <c r="G3" i="2"/>
  <c r="G4" i="2"/>
  <c r="G5" i="2"/>
  <c r="G6" i="2"/>
  <c r="G7" i="2"/>
  <c r="G8" i="2"/>
  <c r="G9" i="2"/>
  <c r="G10" i="2"/>
  <c r="G11" i="2"/>
  <c r="G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B2" i="2" s="1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<sst xmlns="http://schemas.openxmlformats.org/spreadsheetml/2006/main" count="719" uniqueCount="290">
  <si>
    <t>Position</t>
  </si>
  <si>
    <t>Game</t>
  </si>
  <si>
    <t>Team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</si>
  <si>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</si>
  <si>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</si>
  <si>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</si>
  <si>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</si>
  <si>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</si>
  <si>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</si>
  <si>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</si>
  <si>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</si>
  <si>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</si>
  <si>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</si>
  <si>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</si>
  <si>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</si>
  <si>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</si>
  <si>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</si>
  <si>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</si>
  <si>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</si>
  <si>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</si>
  <si>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</si>
  <si>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</si>
  <si>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</si>
  <si>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</si>
  <si>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</si>
  <si>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</si>
  <si>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</si>
  <si>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</si>
  <si>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</si>
  <si>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</si>
  <si>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</si>
  <si>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</si>
  <si>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</si>
  <si>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</si>
  <si>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</si>
  <si>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</si>
  <si>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</si>
  <si>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</si>
  <si>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</si>
  <si>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</si>
  <si>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</si>
  <si>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</si>
  <si>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</si>
  <si>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CLE</t>
  </si>
  <si>
    <t>Kevin</t>
  </si>
  <si>
    <t>O</t>
  </si>
  <si>
    <t>Knee</t>
  </si>
  <si>
    <t>Williams</t>
  </si>
  <si>
    <t>Patrick</t>
  </si>
  <si>
    <t>Iman</t>
  </si>
  <si>
    <t>Shumpert</t>
  </si>
  <si>
    <t>Kyle</t>
  </si>
  <si>
    <t>Smith</t>
  </si>
  <si>
    <t>Anthony</t>
  </si>
  <si>
    <t>Jones</t>
  </si>
  <si>
    <t>Jordan</t>
  </si>
  <si>
    <t>McRae</t>
  </si>
  <si>
    <t>Young</t>
  </si>
  <si>
    <t>Richard</t>
  </si>
  <si>
    <t>Jefferson</t>
  </si>
  <si>
    <t>Jonas</t>
  </si>
  <si>
    <t>Injury?</t>
  </si>
  <si>
    <t>C 1</t>
  </si>
  <si>
    <t>Kawhi Leonard</t>
  </si>
  <si>
    <t>Richard Jefferson</t>
  </si>
  <si>
    <t>LaMarcus Aldridge</t>
  </si>
  <si>
    <t>David Lee</t>
  </si>
  <si>
    <t>Davis</t>
  </si>
  <si>
    <t>SA</t>
  </si>
  <si>
    <t>Kawhi</t>
  </si>
  <si>
    <t>Leonard</t>
  </si>
  <si>
    <t>Gasol</t>
  </si>
  <si>
    <t>LaMarcus</t>
  </si>
  <si>
    <t>Aldridge</t>
  </si>
  <si>
    <t>Pau</t>
  </si>
  <si>
    <t>Pau Gasol</t>
  </si>
  <si>
    <t>Al</t>
  </si>
  <si>
    <t>Lee</t>
  </si>
  <si>
    <t>David</t>
  </si>
  <si>
    <t>Dewayne</t>
  </si>
  <si>
    <t>Dewayne Dedmon</t>
  </si>
  <si>
    <t>Dedmon</t>
  </si>
  <si>
    <t>Green</t>
  </si>
  <si>
    <t>Danny</t>
  </si>
  <si>
    <t>Danny Green</t>
  </si>
  <si>
    <t>Patty</t>
  </si>
  <si>
    <t>Patty Mills</t>
  </si>
  <si>
    <t>Mills</t>
  </si>
  <si>
    <t>Joel</t>
  </si>
  <si>
    <t>Joel Anthony</t>
  </si>
  <si>
    <t>Dejounte</t>
  </si>
  <si>
    <t>Dejounte Murray</t>
  </si>
  <si>
    <t>Murray</t>
  </si>
  <si>
    <t>Anderson</t>
  </si>
  <si>
    <t>Kyle Anderson</t>
  </si>
  <si>
    <t>Iman Shumpert</t>
  </si>
  <si>
    <t>Terry</t>
  </si>
  <si>
    <t>Davis Bertans</t>
  </si>
  <si>
    <t>Bertans</t>
  </si>
  <si>
    <t>Bryn</t>
  </si>
  <si>
    <t>Bryn Forbes</t>
  </si>
  <si>
    <t>Forbes</t>
  </si>
  <si>
    <t>Nicolas</t>
  </si>
  <si>
    <t>Jordan McRae</t>
  </si>
  <si>
    <t>Jonathon</t>
  </si>
  <si>
    <t>Jonathon Simmons</t>
  </si>
  <si>
    <t>Simmons</t>
  </si>
  <si>
    <t>Nicolas Laprovittola</t>
  </si>
  <si>
    <t>Laprovittola</t>
  </si>
  <si>
    <t>Manu</t>
  </si>
  <si>
    <t>Manu Ginobili</t>
  </si>
  <si>
    <t>Ginobili</t>
  </si>
  <si>
    <t>Dahntay</t>
  </si>
  <si>
    <t>Dahntay Jones</t>
  </si>
  <si>
    <t>BOS</t>
  </si>
  <si>
    <t>Isaiah</t>
  </si>
  <si>
    <t>Isaiah Thomas</t>
  </si>
  <si>
    <t>Thomas</t>
  </si>
  <si>
    <t>Al Horford</t>
  </si>
  <si>
    <t>Horford</t>
  </si>
  <si>
    <t>Bradley</t>
  </si>
  <si>
    <t>Jae</t>
  </si>
  <si>
    <t>Jae Crowder</t>
  </si>
  <si>
    <t>Crowder</t>
  </si>
  <si>
    <t>Avery</t>
  </si>
  <si>
    <t>Avery Bradley</t>
  </si>
  <si>
    <t>Marcus</t>
  </si>
  <si>
    <t>Marcus Smart</t>
  </si>
  <si>
    <t>Smart</t>
  </si>
  <si>
    <t>Kelly</t>
  </si>
  <si>
    <t>Kelly Olynyk</t>
  </si>
  <si>
    <t>Olynyk</t>
  </si>
  <si>
    <t>Amir</t>
  </si>
  <si>
    <t>Amir Johnson</t>
  </si>
  <si>
    <t>Johnson</t>
  </si>
  <si>
    <t>Terry Rozier</t>
  </si>
  <si>
    <t>Rozier</t>
  </si>
  <si>
    <t>Ian</t>
  </si>
  <si>
    <t>Jaylen</t>
  </si>
  <si>
    <t>Jaylen Brown</t>
  </si>
  <si>
    <t>Brown</t>
  </si>
  <si>
    <t>Gerald</t>
  </si>
  <si>
    <t>Gerald Green</t>
  </si>
  <si>
    <t>James Young</t>
  </si>
  <si>
    <t>Demetrius</t>
  </si>
  <si>
    <t>Demetrius Jackson</t>
  </si>
  <si>
    <t>Jackson</t>
  </si>
  <si>
    <t>Tyler</t>
  </si>
  <si>
    <t>Tyler Zeller</t>
  </si>
  <si>
    <t>Zeller</t>
  </si>
  <si>
    <t>Jordan Mickey</t>
  </si>
  <si>
    <t>Mickey</t>
  </si>
  <si>
    <t>Jonas Jerebko</t>
  </si>
  <si>
    <t>Jerebko</t>
  </si>
  <si>
    <t>SAS</t>
  </si>
  <si>
    <t>GSW</t>
  </si>
  <si>
    <t>Zaza Pachulia</t>
  </si>
  <si>
    <t>Andre Iguodala</t>
  </si>
  <si>
    <t>Draymond Green</t>
  </si>
  <si>
    <t>Klay Thompson</t>
  </si>
  <si>
    <t>Matt Barnes</t>
  </si>
  <si>
    <t>Ian Clark</t>
  </si>
  <si>
    <t>Patrick McCaw</t>
  </si>
  <si>
    <t>Shaun Livingston</t>
  </si>
  <si>
    <t>David West</t>
  </si>
  <si>
    <t>JaVale McGee</t>
  </si>
  <si>
    <t>Kevin Durant</t>
  </si>
  <si>
    <t>J.R. Smith</t>
  </si>
  <si>
    <t>Deron Williams</t>
  </si>
  <si>
    <t>Channing Frye</t>
  </si>
  <si>
    <t>Tristan Thompson</t>
  </si>
  <si>
    <t>Stephen Curry</t>
  </si>
  <si>
    <t>LeBron James</t>
  </si>
  <si>
    <t>Kevin Love</t>
  </si>
  <si>
    <t>Kyle Korver</t>
  </si>
  <si>
    <t>Kyrie Irving</t>
  </si>
  <si>
    <t>19354-9488</t>
  </si>
  <si>
    <t>LeBron</t>
  </si>
  <si>
    <t>CLE@BOS</t>
  </si>
  <si>
    <t>19354-14513</t>
  </si>
  <si>
    <t>GS@SA</t>
  </si>
  <si>
    <t>GS</t>
  </si>
  <si>
    <t>GTD</t>
  </si>
  <si>
    <t>Ankle</t>
  </si>
  <si>
    <t>19354-9646</t>
  </si>
  <si>
    <t>Durant</t>
  </si>
  <si>
    <t>19354-9524</t>
  </si>
  <si>
    <t>Stephen</t>
  </si>
  <si>
    <t>Curry</t>
  </si>
  <si>
    <t>19354-14559</t>
  </si>
  <si>
    <t>19354-14498</t>
  </si>
  <si>
    <t>Kyrie</t>
  </si>
  <si>
    <t>Irving</t>
  </si>
  <si>
    <t>19354-15860</t>
  </si>
  <si>
    <t>Draymond</t>
  </si>
  <si>
    <t>19354-9688</t>
  </si>
  <si>
    <t>19354-9453</t>
  </si>
  <si>
    <t>19354-9874</t>
  </si>
  <si>
    <t>Love</t>
  </si>
  <si>
    <t>19354-14509</t>
  </si>
  <si>
    <t>Klay</t>
  </si>
  <si>
    <t>Thompson</t>
  </si>
  <si>
    <t>19354-12334</t>
  </si>
  <si>
    <t>19354-15800</t>
  </si>
  <si>
    <t>19354-9570</t>
  </si>
  <si>
    <t>19354-9939</t>
  </si>
  <si>
    <t>19354-14501</t>
  </si>
  <si>
    <t>Tristan</t>
  </si>
  <si>
    <t>19354-23670</t>
  </si>
  <si>
    <t>19354-22541</t>
  </si>
  <si>
    <t>19354-9664</t>
  </si>
  <si>
    <t>Andre</t>
  </si>
  <si>
    <t>Iguodala</t>
  </si>
  <si>
    <t>19354-18821</t>
  </si>
  <si>
    <t>19354-9758</t>
  </si>
  <si>
    <t>19354-9739</t>
  </si>
  <si>
    <t>JaVale</t>
  </si>
  <si>
    <t>McGee</t>
  </si>
  <si>
    <t>19354-9454</t>
  </si>
  <si>
    <t>Zaza</t>
  </si>
  <si>
    <t>Pachulia</t>
  </si>
  <si>
    <t>Heel</t>
  </si>
  <si>
    <t>19354-9870</t>
  </si>
  <si>
    <t>Korver</t>
  </si>
  <si>
    <t>19354-58658</t>
  </si>
  <si>
    <t>McCaw</t>
  </si>
  <si>
    <t>19354-9783</t>
  </si>
  <si>
    <t>19354-9678</t>
  </si>
  <si>
    <t>Channing</t>
  </si>
  <si>
    <t>Frye</t>
  </si>
  <si>
    <t>19354-9506</t>
  </si>
  <si>
    <t>J.R.</t>
  </si>
  <si>
    <t>19354-9629</t>
  </si>
  <si>
    <t>West</t>
  </si>
  <si>
    <t>19354-14515</t>
  </si>
  <si>
    <t>19354-9638</t>
  </si>
  <si>
    <t>19354-17747</t>
  </si>
  <si>
    <t>Clark</t>
  </si>
  <si>
    <t>19354-9704</t>
  </si>
  <si>
    <t>19354-9706</t>
  </si>
  <si>
    <t>19354-67708</t>
  </si>
  <si>
    <t>19354-9862</t>
  </si>
  <si>
    <t>19354-23716</t>
  </si>
  <si>
    <t>19354-9722</t>
  </si>
  <si>
    <t>Deron</t>
  </si>
  <si>
    <t>19354-42677</t>
  </si>
  <si>
    <t>19354-67026</t>
  </si>
  <si>
    <t>19354-9849</t>
  </si>
  <si>
    <t>19354-16301</t>
  </si>
  <si>
    <t>19354-15955</t>
  </si>
  <si>
    <t>James Michael</t>
  </si>
  <si>
    <t>James Michael McAdoo</t>
  </si>
  <si>
    <t>McAdoo</t>
  </si>
  <si>
    <t>19354-14500</t>
  </si>
  <si>
    <t>Derrick</t>
  </si>
  <si>
    <t>Derrick Williams</t>
  </si>
  <si>
    <t>19354-42671</t>
  </si>
  <si>
    <t>19354-9490</t>
  </si>
  <si>
    <t>Anderson Varejao</t>
  </si>
  <si>
    <t>Varejao</t>
  </si>
  <si>
    <t>19354-55063</t>
  </si>
  <si>
    <t>Edy</t>
  </si>
  <si>
    <t>Edy Tavares</t>
  </si>
  <si>
    <t>Tavares</t>
  </si>
  <si>
    <t>Hand</t>
  </si>
  <si>
    <t>19354-9643</t>
  </si>
  <si>
    <t>Shaun</t>
  </si>
  <si>
    <t>Livingston</t>
  </si>
  <si>
    <t>19354-41269</t>
  </si>
  <si>
    <t>19354-74164</t>
  </si>
  <si>
    <t>19354-9657</t>
  </si>
  <si>
    <t>Matt</t>
  </si>
  <si>
    <t>Barnes</t>
  </si>
  <si>
    <t>19354-9785</t>
  </si>
  <si>
    <t>James Jones</t>
  </si>
  <si>
    <t>19354-58576</t>
  </si>
  <si>
    <t>Kevon</t>
  </si>
  <si>
    <t>Kevon Looney</t>
  </si>
  <si>
    <t>Looney</t>
  </si>
  <si>
    <t>Hip</t>
  </si>
  <si>
    <t>19354-15961</t>
  </si>
  <si>
    <t>19354-16230</t>
  </si>
  <si>
    <t>19354-41063</t>
  </si>
  <si>
    <t>19354-9962</t>
  </si>
  <si>
    <t>19354-23788</t>
  </si>
  <si>
    <t>19354-41082</t>
  </si>
  <si>
    <t>Damian</t>
  </si>
  <si>
    <t>Damian Jones</t>
  </si>
  <si>
    <t>19354-9546</t>
  </si>
  <si>
    <t>19354-14543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</si>
</sst>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abSelected="1" topLeftCell="A10"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12</v>
      </c>
      <c r="C1" t="s">
        <v>13</v>
      </c>
      <c r="D1" t="s">
        <v>8</v>
      </c>
      <c r="E1" t="s">
        <v>9</v>
      </c>
      <c r="F1" t="s">
        <v>10</v>
      </c>
      <c r="G1" t="s">
        <v>11</v>
      </c>
      <c r="H1" t="s">
        <v>3</v>
      </c>
      <c r="I1" t="s">
        <v>7</v>
      </c>
      <c r="J1" t="s">
        <v>5</v>
      </c>
      <c r="K1" t="s">
        <v>4</v>
      </c>
      <c r="L1" t="s">
        <v>6</v>
      </c>
      <c r="M1" t="s">
        <v>61</v>
      </c>
      <c r="N1" t="s">
        <v>0</v>
      </c>
      <c r="O1" t="s">
        <v>14</v>
      </c>
      <c r="P1" t="s">
        <v>15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RawData!B2</f>
        <v>SF</v>
      </c>
      <c r="E2" t="str">
        <f>RawData!C2&amp; " "&amp;RawData!E2</f>
        <v>LeBron James</v>
      </c>
      <c r="F2">
        <f>(RawData!O2)*M2</f>
        <v>55.87</v>
      </c>
      <c r="G2" s="35">
        <f>RawData!H2</f>
        <v>12500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RawData!B3</f>
        <v>SF</v>
      </c>
      <c r="E3" s="2" t="str">
        <f>RawData!C3&amp; " "&amp;RawData!E3</f>
        <v>Kawhi Leonard</v>
      </c>
      <c r="F3" s="2">
        <f>(RawData!O3)*M3</f>
        <v>0</v>
      </c>
      <c r="G3" s="35">
        <f>RawData!H3</f>
        <v>11000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0</v>
      </c>
      <c r="N3" t="s">
        <v>7</v>
      </c>
      <c r="O3">
        <v>2</v>
      </c>
      <c r="P3">
        <f>SUM(I2:I339)</f>
        <v>2</v>
      </c>
    </row>
    <row r="4" spans="1:20" x14ac:dyDescent="0.25">
      <c r="A4" t="str">
        <f t="shared" si="1"/>
        <v>SF</v>
      </c>
      <c r="B4" t="str">
        <f>IF(C4=0,0,A4&amp;" "&amp;COUNTIF($A$1:$A4,A4))</f>
        <v>SF 1</v>
      </c>
      <c r="C4" s="1">
        <v>1</v>
      </c>
      <c r="D4" s="2" t="str">
        <f>RawData!B4</f>
        <v>SF</v>
      </c>
      <c r="E4" s="2" t="str">
        <f>RawData!C4&amp; " "&amp;RawData!E4</f>
        <v>Kevin Durant</v>
      </c>
      <c r="F4" s="2">
        <f>(RawData!O4)*M4</f>
        <v>46.81</v>
      </c>
      <c r="G4" s="35">
        <f>RawData!H4</f>
        <v>10000</v>
      </c>
      <c r="H4">
        <f t="shared" si="2"/>
        <v>0</v>
      </c>
      <c r="I4">
        <f t="shared" si="2"/>
        <v>0</v>
      </c>
      <c r="J4">
        <f t="shared" si="2"/>
        <v>1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5</v>
      </c>
      <c r="O4">
        <v>2</v>
      </c>
      <c r="P4">
        <f>SUM(J2:J339)</f>
        <v>2</v>
      </c>
    </row>
    <row r="5" spans="1:20" x14ac:dyDescent="0.25">
      <c r="A5" t="str">
        <f t="shared" si="1"/>
        <v>PG</v>
      </c>
      <c r="B5" t="str">
        <f>IF(C5=0,0,A5&amp;" "&amp;COUNTIF($A$1:$A5,A5))</f>
        <v>PG 1</v>
      </c>
      <c r="C5" s="1">
        <v>1</v>
      </c>
      <c r="D5" s="2" t="str">
        <f>RawData!B5</f>
        <v>PG</v>
      </c>
      <c r="E5" s="2" t="str">
        <f>RawData!C5&amp; " "&amp;RawData!E5</f>
        <v>Stephen Curry</v>
      </c>
      <c r="F5" s="2">
        <f>(RawData!O5)*M5</f>
        <v>46.2</v>
      </c>
      <c r="G5" s="35">
        <f>RawData!H5</f>
        <v>10000</v>
      </c>
      <c r="H5">
        <f t="shared" si="2"/>
        <v>1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4</v>
      </c>
      <c r="O5">
        <v>2</v>
      </c>
      <c r="P5">
        <f>SUM(K2:K339)</f>
        <v>2</v>
      </c>
    </row>
    <row r="6" spans="1:20" x14ac:dyDescent="0.25">
      <c r="A6" t="str">
        <f t="shared" si="1"/>
        <v>PG</v>
      </c>
      <c r="B6" t="str">
        <f>IF(C6=0,0,A6&amp;" "&amp;COUNTIF($A$1:$A6,A6))</f>
        <v>PG 2</v>
      </c>
      <c r="C6" s="1">
        <v>1</v>
      </c>
      <c r="D6" s="2" t="str">
        <f>RawData!B6</f>
        <v>PG</v>
      </c>
      <c r="E6" s="2" t="str">
        <f>RawData!C6&amp; " "&amp;RawData!E6</f>
        <v>Isaiah Thomas</v>
      </c>
      <c r="F6" s="2">
        <f>(RawData!O6)*M6</f>
        <v>44.63</v>
      </c>
      <c r="G6" s="35">
        <f>RawData!H6</f>
        <v>9200</v>
      </c>
      <c r="H6">
        <f t="shared" si="2"/>
        <v>1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1</v>
      </c>
      <c r="N6" t="s">
        <v>6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RawData!B7</f>
        <v>PG</v>
      </c>
      <c r="E7" s="2" t="str">
        <f>RawData!C7&amp; " "&amp;RawData!E7</f>
        <v>Kyrie Irving</v>
      </c>
      <c r="F7" s="2">
        <f>(RawData!O7)*M7</f>
        <v>38.35</v>
      </c>
      <c r="G7" s="35">
        <f>RawData!H7</f>
        <v>8800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PF</v>
      </c>
      <c r="E8" s="2" t="str">
        <f>RawData!C8&amp; " "&amp;RawData!E8</f>
        <v>Draymond Green</v>
      </c>
      <c r="F8" s="2">
        <f>(RawData!O8)*M8</f>
        <v>38.770000000000003</v>
      </c>
      <c r="G8" s="35">
        <f>RawData!H8</f>
        <v>8600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16</v>
      </c>
      <c r="O8">
        <f>SUMPRODUCT(C2:C239,G2:G239)</f>
        <v>60000</v>
      </c>
    </row>
    <row r="9" spans="1:20" x14ac:dyDescent="0.25">
      <c r="A9" t="str">
        <f t="shared" si="1"/>
        <v>PF</v>
      </c>
      <c r="B9" t="str">
        <f>IF(C9=0,0,A9&amp;" "&amp;COUNTIF($A$1:$A9,A9))</f>
        <v>PF 1</v>
      </c>
      <c r="C9" s="1">
        <v>1</v>
      </c>
      <c r="D9" s="2" t="str">
        <f>RawData!B9</f>
        <v>PF</v>
      </c>
      <c r="E9" s="2" t="str">
        <f>RawData!C9&amp; " "&amp;RawData!E9</f>
        <v>LaMarcus Aldridge</v>
      </c>
      <c r="F9" s="2">
        <f>(RawData!O9)*M9</f>
        <v>36.409999999999997</v>
      </c>
      <c r="G9" s="35">
        <f>RawData!H9</f>
        <v>8000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1</v>
      </c>
      <c r="L9">
        <f t="shared" si="2"/>
        <v>0</v>
      </c>
      <c r="M9" s="2">
        <f>IF(RawData!L9=0,1,0)</f>
        <v>1</v>
      </c>
      <c r="N9" t="s">
        <v>17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RawData!B10</f>
        <v>C</v>
      </c>
      <c r="E10" s="2" t="str">
        <f>RawData!C10&amp; " "&amp;RawData!E10</f>
        <v>Al Horford</v>
      </c>
      <c r="F10" s="2">
        <f>(RawData!O10)*M10</f>
        <v>36.31</v>
      </c>
      <c r="G10" s="35">
        <f>RawData!H10</f>
        <v>8000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1</v>
      </c>
    </row>
    <row r="11" spans="1:20" x14ac:dyDescent="0.25">
      <c r="A11" t="str">
        <f t="shared" si="1"/>
        <v>PF</v>
      </c>
      <c r="B11" t="str">
        <f>IF(C11=0,0,A11&amp;" "&amp;COUNTIF($A$1:$A11,A11))</f>
        <v>PF 2</v>
      </c>
      <c r="C11" s="1">
        <v>1</v>
      </c>
      <c r="D11" s="2" t="str">
        <f>RawData!B11</f>
        <v>PF</v>
      </c>
      <c r="E11" s="2" t="str">
        <f>RawData!C11&amp; " "&amp;RawData!E11</f>
        <v>Kevin Love</v>
      </c>
      <c r="F11" s="2">
        <f>(RawData!O11)*M11</f>
        <v>36.36</v>
      </c>
      <c r="G11" s="35">
        <f>RawData!H11</f>
        <v>7500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1</v>
      </c>
      <c r="L11">
        <f t="shared" si="2"/>
        <v>0</v>
      </c>
      <c r="M11" s="2">
        <f>IF(RawData!L11=0,1,0)</f>
        <v>1</v>
      </c>
      <c r="N11" t="s">
        <v>18</v>
      </c>
      <c r="O11">
        <f>SUMPRODUCT(C2:C339,F2:F339)</f>
        <v>293.69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RawData!B12</f>
        <v>SG</v>
      </c>
      <c r="E12" s="2" t="str">
        <f>RawData!C12&amp; " "&amp;RawData!E12</f>
        <v>Klay Thompson</v>
      </c>
      <c r="F12" s="2">
        <f>(RawData!O12)*M12</f>
        <v>29.33</v>
      </c>
      <c r="G12" s="35">
        <f>RawData!H12</f>
        <v>7100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SG</v>
      </c>
      <c r="E13" s="2" t="str">
        <f>RawData!C13&amp; " "&amp;RawData!E13</f>
        <v>Avery Bradley</v>
      </c>
      <c r="F13" s="2">
        <f>(RawData!O13)*M13</f>
        <v>29.81</v>
      </c>
      <c r="G13" s="35">
        <f>RawData!H13</f>
        <v>6500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1</v>
      </c>
      <c r="N13" t="s">
        <v>19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RawData!B14</f>
        <v>SF</v>
      </c>
      <c r="E14" s="2" t="str">
        <f>RawData!C14&amp; " "&amp;RawData!E14</f>
        <v>Jae Crowder</v>
      </c>
      <c r="F14" s="2">
        <f>(RawData!O14)*M14</f>
        <v>28.98</v>
      </c>
      <c r="G14" s="35">
        <f>RawData!H14</f>
        <v>6300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20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C</v>
      </c>
      <c r="E15" s="2" t="str">
        <f>RawData!C15&amp; " "&amp;RawData!E15</f>
        <v>Pau Gasol</v>
      </c>
      <c r="F15" s="2">
        <f>(RawData!O15)*M15</f>
        <v>20.079999999999998</v>
      </c>
      <c r="G15" s="35">
        <f>RawData!H15</f>
        <v>6100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RawData!B16</f>
        <v>PG</v>
      </c>
      <c r="E16" s="2" t="str">
        <f>RawData!C16&amp; " "&amp;RawData!E16</f>
        <v>Patty Mills</v>
      </c>
      <c r="F16" s="2">
        <f>(RawData!O16)*M16</f>
        <v>23.97</v>
      </c>
      <c r="G16" s="35">
        <f>RawData!H16</f>
        <v>5200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22</v>
      </c>
    </row>
    <row r="17" spans="1:15" x14ac:dyDescent="0.25">
      <c r="A17" t="str">
        <f t="shared" si="1"/>
        <v>C</v>
      </c>
      <c r="B17" t="str">
        <f>IF(C17=0,0,A17&amp;" "&amp;COUNTIF($A$1:$A17,A17))</f>
        <v>C 1</v>
      </c>
      <c r="C17" s="1">
        <v>1</v>
      </c>
      <c r="D17" s="2" t="str">
        <f>RawData!B17</f>
        <v>C</v>
      </c>
      <c r="E17" s="2" t="str">
        <f>RawData!C17&amp; " "&amp;RawData!E17</f>
        <v>Tristan Thompson</v>
      </c>
      <c r="F17" s="2">
        <f>(RawData!O17)*M17</f>
        <v>27.5</v>
      </c>
      <c r="G17" s="35">
        <f>RawData!H17</f>
        <v>5100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1</v>
      </c>
      <c r="M17" s="2">
        <f>IF(RawData!L17=0,1,0)</f>
        <v>1</v>
      </c>
      <c r="N17" t="s">
        <v>24</v>
      </c>
      <c r="O17" t="str">
        <f>VLOOKUP(N17,B2:F101,4,FALSE)</f>
        <v>Stephen Curry</v>
      </c>
    </row>
    <row r="18" spans="1:15" x14ac:dyDescent="0.25">
      <c r="A18" t="str">
        <f t="shared" si="1"/>
        <v>SG</v>
      </c>
      <c r="B18" t="str">
        <f>IF(C18=0,0,A18&amp;" "&amp;COUNTIF($A$1:$A18,A18))</f>
        <v>SG 1</v>
      </c>
      <c r="C18" s="1">
        <v>1</v>
      </c>
      <c r="D18" s="2" t="str">
        <f>RawData!B18</f>
        <v>SG</v>
      </c>
      <c r="E18" s="2" t="str">
        <f>RawData!C18&amp; " "&amp;RawData!E18</f>
        <v>Marcus Smart</v>
      </c>
      <c r="F18" s="2">
        <f>(RawData!O18)*M18</f>
        <v>23.68</v>
      </c>
      <c r="G18" s="35">
        <f>RawData!H18</f>
        <v>5100</v>
      </c>
      <c r="H18">
        <f t="shared" si="2"/>
        <v>0</v>
      </c>
      <c r="I18">
        <f t="shared" si="2"/>
        <v>1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25</v>
      </c>
      <c r="O18" s="2" t="str">
        <f>VLOOKUP(N18,B2:F102,4,FALSE)</f>
        <v>Isaiah Thomas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C</v>
      </c>
      <c r="E19" s="2" t="str">
        <f>RawData!C19&amp; " "&amp;RawData!E19</f>
        <v>Kelly Olynyk</v>
      </c>
      <c r="F19" s="2">
        <f>(RawData!O19)*M19</f>
        <v>19.899999999999999</v>
      </c>
      <c r="G19" s="35">
        <f>RawData!H19</f>
        <v>4800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26</v>
      </c>
      <c r="O19" s="2" t="str">
        <f>VLOOKUP(N19,B2:F103,4,FALSE)</f>
        <v>Marcus Smart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SF</v>
      </c>
      <c r="E20" s="2" t="str">
        <f>RawData!C20&amp; " "&amp;RawData!E20</f>
        <v>Andre Iguodala</v>
      </c>
      <c r="F20" s="2">
        <f>(RawData!O20)*M20</f>
        <v>0</v>
      </c>
      <c r="G20" s="35">
        <f>RawData!H20</f>
        <v>4700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0</v>
      </c>
      <c r="N20" t="s">
        <v>27</v>
      </c>
      <c r="O20" s="2" t="str">
        <f>VLOOKUP(N20,B2:F104,4,FALSE)</f>
        <v>Manu Ginobili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RawData!B21</f>
        <v>SF</v>
      </c>
      <c r="E21" s="2" t="str">
        <f>RawData!C21&amp; " "&amp;RawData!E21</f>
        <v>Jonathon Simmons</v>
      </c>
      <c r="F21" s="2">
        <f>(RawData!O21)*M21</f>
        <v>17.809999999999999</v>
      </c>
      <c r="G21" s="35">
        <f>RawData!H21</f>
        <v>4300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28</v>
      </c>
      <c r="O21" s="2" t="str">
        <f>VLOOKUP(N21,B2:F105,4,FALSE)</f>
        <v>Kevin Durant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SG</v>
      </c>
      <c r="E22" s="2" t="str">
        <f>RawData!C22&amp; " "&amp;RawData!E22</f>
        <v>Danny Green</v>
      </c>
      <c r="F22" s="2">
        <f>(RawData!O22)*M22</f>
        <v>18.670000000000002</v>
      </c>
      <c r="G22" s="35">
        <f>RawData!H22</f>
        <v>4200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29</v>
      </c>
      <c r="O22" s="2" t="str">
        <f>VLOOKUP(N22,B2:F106,4,FALSE)</f>
        <v>Jaylen Brown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C</v>
      </c>
      <c r="E23" s="2" t="str">
        <f>RawData!C23&amp; " "&amp;RawData!E23</f>
        <v>JaVale McGee</v>
      </c>
      <c r="F23" s="2">
        <f>(RawData!O23)*M23</f>
        <v>9.67</v>
      </c>
      <c r="G23" s="35">
        <f>RawData!H23</f>
        <v>4000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30</v>
      </c>
      <c r="O23" s="2" t="str">
        <f>VLOOKUP(N23,B2:F107,4,FALSE)</f>
        <v>LaMarcus Aldridge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C</v>
      </c>
      <c r="E24" s="2" t="str">
        <f>RawData!C24&amp; " "&amp;RawData!E24</f>
        <v>Zaza Pachulia</v>
      </c>
      <c r="F24" s="2">
        <f>(RawData!O24)*M24</f>
        <v>0</v>
      </c>
      <c r="G24" s="35">
        <f>RawData!H24</f>
        <v>4000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0</v>
      </c>
      <c r="N24" t="s">
        <v>31</v>
      </c>
      <c r="O24" s="2" t="str">
        <f>VLOOKUP(N24,B2:F108,4,FALSE)</f>
        <v>Kevin Love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SG</v>
      </c>
      <c r="E25" s="2" t="str">
        <f>RawData!C25&amp; " "&amp;RawData!E25</f>
        <v>Kyle Korver</v>
      </c>
      <c r="F25" s="2">
        <f>(RawData!O25)*M25</f>
        <v>12.53</v>
      </c>
      <c r="G25" s="35">
        <f>RawData!H25</f>
        <v>3500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62</v>
      </c>
      <c r="O25" s="2" t="str">
        <f>VLOOKUP(N25,B3:F109,4,FALSE)</f>
        <v>Tristan Thompson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SG</v>
      </c>
      <c r="E26" s="2" t="str">
        <f>RawData!C26&amp; " "&amp;RawData!E26</f>
        <v>Patrick McCaw</v>
      </c>
      <c r="F26" s="2">
        <f>(RawData!O26)*M26</f>
        <v>7.02</v>
      </c>
      <c r="G26" s="35">
        <f>RawData!H26</f>
        <v>3500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RawData!B27</f>
        <v>C</v>
      </c>
      <c r="E27" s="2" t="str">
        <f>RawData!C27&amp; " "&amp;RawData!E27</f>
        <v>Joel Anthony</v>
      </c>
      <c r="F27" s="2">
        <f>(RawData!O27)*M27</f>
        <v>0</v>
      </c>
      <c r="G27" s="35">
        <f>RawData!H27</f>
        <v>3500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RawData!B28</f>
        <v>PF</v>
      </c>
      <c r="E28" s="2" t="str">
        <f>RawData!C28&amp; " "&amp;RawData!E28</f>
        <v>Channing Frye</v>
      </c>
      <c r="F28" s="2">
        <f>(RawData!O28)*M28</f>
        <v>10.15</v>
      </c>
      <c r="G28" s="35">
        <f>RawData!H28</f>
        <v>3500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SG</v>
      </c>
      <c r="E29" s="2" t="str">
        <f>RawData!C29&amp; " "&amp;RawData!E29</f>
        <v>J.R. Smith</v>
      </c>
      <c r="F29" s="2">
        <f>(RawData!O29)*M29</f>
        <v>14.71</v>
      </c>
      <c r="G29" s="35">
        <f>RawData!H29</f>
        <v>3300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PF</v>
      </c>
      <c r="E30" s="2" t="str">
        <f>RawData!C30&amp; " "&amp;RawData!E30</f>
        <v>David West</v>
      </c>
      <c r="F30" s="2">
        <f>(RawData!O30)*M30</f>
        <v>11.73</v>
      </c>
      <c r="G30" s="35">
        <f>RawData!H30</f>
        <v>3200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SG</v>
      </c>
      <c r="E31" s="2" t="str">
        <f>RawData!C31&amp; " "&amp;RawData!E31</f>
        <v>Iman Shumpert</v>
      </c>
      <c r="F31" s="2">
        <f>(RawData!O31)*M31</f>
        <v>11.58</v>
      </c>
      <c r="G31" s="35">
        <f>RawData!H31</f>
        <v>3100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PF</v>
      </c>
      <c r="E32" s="2" t="str">
        <f>RawData!C32&amp; " "&amp;RawData!E32</f>
        <v>David Lee</v>
      </c>
      <c r="F32" s="2">
        <f>(RawData!O32)*M32</f>
        <v>5.31</v>
      </c>
      <c r="G32" s="35">
        <f>RawData!H32</f>
        <v>3000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SG</v>
      </c>
      <c r="E33" s="2" t="str">
        <f>RawData!C33&amp; " "&amp;RawData!E33</f>
        <v>Ian Clark</v>
      </c>
      <c r="F33" s="2">
        <f>(RawData!O33)*M33</f>
        <v>6.09</v>
      </c>
      <c r="G33" s="35">
        <f>RawData!H33</f>
        <v>3000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 t="str">
        <f t="shared" si="1"/>
        <v>SG</v>
      </c>
      <c r="B34" t="str">
        <f>IF(C34=0,0,A34&amp;" "&amp;COUNTIF($A$1:$A34,A34))</f>
        <v>SG 2</v>
      </c>
      <c r="C34" s="1">
        <v>1</v>
      </c>
      <c r="D34" s="2" t="str">
        <f>RawData!B34</f>
        <v>SG</v>
      </c>
      <c r="E34" s="2" t="str">
        <f>RawData!C34&amp; " "&amp;RawData!E34</f>
        <v>Manu Ginobili</v>
      </c>
      <c r="F34" s="2">
        <f>(RawData!O34)*M34</f>
        <v>19.02</v>
      </c>
      <c r="G34" s="35">
        <f>RawData!H34</f>
        <v>3000</v>
      </c>
      <c r="H34">
        <f t="shared" si="2"/>
        <v>0</v>
      </c>
      <c r="I34">
        <f t="shared" si="2"/>
        <v>1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SF</v>
      </c>
      <c r="E35" s="2" t="str">
        <f>RawData!C35&amp; " "&amp;RawData!E35</f>
        <v>Richard Jefferson</v>
      </c>
      <c r="F35" s="2">
        <f>(RawData!O35)*M35</f>
        <v>0</v>
      </c>
      <c r="G35" s="35">
        <f>RawData!H35</f>
        <v>2900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PG</v>
      </c>
      <c r="E36" s="2" t="str">
        <f>RawData!C36&amp; " "&amp;RawData!E36</f>
        <v>Dejounte Murray</v>
      </c>
      <c r="F36" s="2">
        <f>(RawData!O36)*M36</f>
        <v>10.029999999999999</v>
      </c>
      <c r="G36" s="35">
        <f>RawData!H36</f>
        <v>2600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PF</v>
      </c>
      <c r="E37" s="2" t="str">
        <f>RawData!C37&amp; " "&amp;RawData!E37</f>
        <v>Amir Johnson</v>
      </c>
      <c r="F37" s="2">
        <f>(RawData!O37)*M37</f>
        <v>6.8</v>
      </c>
      <c r="G37" s="35">
        <f>RawData!H37</f>
        <v>2500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SF</v>
      </c>
      <c r="E38" s="2" t="str">
        <f>RawData!C38&amp; " "&amp;RawData!E38</f>
        <v>Kyle Anderson</v>
      </c>
      <c r="F38" s="2">
        <f>(RawData!O38)*M38</f>
        <v>6.32</v>
      </c>
      <c r="G38" s="35">
        <f>RawData!H38</f>
        <v>2500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PG</v>
      </c>
      <c r="E39" s="2" t="str">
        <f>RawData!C39&amp; " "&amp;RawData!E39</f>
        <v>Deron Williams</v>
      </c>
      <c r="F39" s="2">
        <f>(RawData!O39)*M39</f>
        <v>9.1199999999999992</v>
      </c>
      <c r="G39" s="35">
        <f>RawData!H39</f>
        <v>2500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PG</v>
      </c>
      <c r="E40" s="2" t="str">
        <f>RawData!C40&amp; " "&amp;RawData!E40</f>
        <v>Terry Rozier</v>
      </c>
      <c r="F40" s="2">
        <f>(RawData!O40)*M40</f>
        <v>5.77</v>
      </c>
      <c r="G40" s="35">
        <f>RawData!H40</f>
        <v>2300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1</v>
      </c>
    </row>
    <row r="41" spans="1:13" x14ac:dyDescent="0.25">
      <c r="A41" t="str">
        <f t="shared" si="1"/>
        <v>SF</v>
      </c>
      <c r="B41" t="str">
        <f>IF(C41=0,0,A41&amp;" "&amp;COUNTIF($A$1:$A41,A41))</f>
        <v>SF 2</v>
      </c>
      <c r="C41" s="1">
        <v>1</v>
      </c>
      <c r="D41" s="2" t="str">
        <f>RawData!B41</f>
        <v>SF</v>
      </c>
      <c r="E41" s="2" t="str">
        <f>RawData!C41&amp; " "&amp;RawData!E41</f>
        <v>Jaylen Brown</v>
      </c>
      <c r="F41" s="2">
        <f>(RawData!O41)*M41</f>
        <v>13.08</v>
      </c>
      <c r="G41" s="35">
        <f>RawData!H41</f>
        <v>2100</v>
      </c>
      <c r="H41">
        <f t="shared" si="2"/>
        <v>0</v>
      </c>
      <c r="I41">
        <f t="shared" si="2"/>
        <v>0</v>
      </c>
      <c r="J41">
        <f t="shared" ref="I41:L56" si="3">IF($D41=J$1,$C41*1,0)</f>
        <v>1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SG</v>
      </c>
      <c r="E42" s="2" t="str">
        <f>RawData!C42&amp; " "&amp;RawData!E42</f>
        <v>Gerald Green</v>
      </c>
      <c r="F42" s="2">
        <f>(RawData!O42)*M42</f>
        <v>4.6900000000000004</v>
      </c>
      <c r="G42" s="35">
        <f>RawData!H42</f>
        <v>2100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C</v>
      </c>
      <c r="E43" s="2" t="str">
        <f>RawData!C43&amp; " "&amp;RawData!E43</f>
        <v>Dewayne Dedmon</v>
      </c>
      <c r="F43" s="2">
        <f>(RawData!O43)*M43</f>
        <v>5.49</v>
      </c>
      <c r="G43" s="35">
        <f>RawData!H43</f>
        <v>2000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PF</v>
      </c>
      <c r="E44" s="2" t="str">
        <f>RawData!C44&amp; " "&amp;RawData!E44</f>
        <v>James Michael McAdoo</v>
      </c>
      <c r="F44" s="2">
        <f>(RawData!O44)*M44</f>
        <v>0</v>
      </c>
      <c r="G44" s="35">
        <f>RawData!H44</f>
        <v>1900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PF</v>
      </c>
      <c r="E45" s="2" t="str">
        <f>RawData!C45&amp; " "&amp;RawData!E45</f>
        <v>Derrick Williams</v>
      </c>
      <c r="F45" s="2">
        <f>(RawData!O45)*M45</f>
        <v>0</v>
      </c>
      <c r="G45" s="35">
        <f>RawData!H45</f>
        <v>1800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SF</v>
      </c>
      <c r="E46" s="2" t="str">
        <f>RawData!C46&amp; " "&amp;RawData!E46</f>
        <v>James Young</v>
      </c>
      <c r="F46" s="2">
        <f>(RawData!O46)*M46</f>
        <v>0</v>
      </c>
      <c r="G46" s="35">
        <f>RawData!H46</f>
        <v>1700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1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C</v>
      </c>
      <c r="E47" s="2" t="str">
        <f>RawData!C47&amp; " "&amp;RawData!E47</f>
        <v>Anderson Varejao</v>
      </c>
      <c r="F47" s="2">
        <f>(RawData!O47)*M47</f>
        <v>0</v>
      </c>
      <c r="G47" s="35">
        <f>RawData!H47</f>
        <v>1500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C</v>
      </c>
      <c r="E48" s="2" t="str">
        <f>RawData!C48&amp; " "&amp;RawData!E48</f>
        <v>Edy Tavares</v>
      </c>
      <c r="F48" s="2">
        <f>(RawData!O48)*M48</f>
        <v>0</v>
      </c>
      <c r="G48" s="35">
        <f>RawData!H48</f>
        <v>1500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0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PG</v>
      </c>
      <c r="E49" s="2" t="str">
        <f>RawData!C49&amp; " "&amp;RawData!E49</f>
        <v>Shaun Livingston</v>
      </c>
      <c r="F49" s="2">
        <f>(RawData!O49)*M49</f>
        <v>10.06</v>
      </c>
      <c r="G49" s="35">
        <f>RawData!H49</f>
        <v>1500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PG</v>
      </c>
      <c r="E50" s="2" t="str">
        <f>RawData!C50&amp; " "&amp;RawData!E50</f>
        <v>Demetrius Jackson</v>
      </c>
      <c r="F50" s="2">
        <f>(RawData!O50)*M50</f>
        <v>0</v>
      </c>
      <c r="G50" s="35">
        <f>RawData!H50</f>
        <v>1500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PG</v>
      </c>
      <c r="E51" s="2" t="str">
        <f>RawData!C51&amp; " "&amp;RawData!E51</f>
        <v>Nicolas Laprovittola</v>
      </c>
      <c r="F51" s="2">
        <f>(RawData!O51)*M51</f>
        <v>0</v>
      </c>
      <c r="G51" s="35">
        <f>RawData!H51</f>
        <v>1500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SF</v>
      </c>
      <c r="E52" s="2" t="str">
        <f>RawData!C52&amp; " "&amp;RawData!E52</f>
        <v>Matt Barnes</v>
      </c>
      <c r="F52" s="2">
        <f>(RawData!O52)*M52</f>
        <v>6.42</v>
      </c>
      <c r="G52" s="35">
        <f>RawData!H52</f>
        <v>1500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SG</v>
      </c>
      <c r="E53" s="2" t="str">
        <f>RawData!C53&amp; " "&amp;RawData!E53</f>
        <v>James Jones</v>
      </c>
      <c r="F53" s="2">
        <f>(RawData!O53)*M53</f>
        <v>0</v>
      </c>
      <c r="G53" s="35">
        <f>RawData!H53</f>
        <v>1500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1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PF</v>
      </c>
      <c r="E54" s="2" t="str">
        <f>RawData!C54&amp; " "&amp;RawData!E54</f>
        <v>Kevon Looney</v>
      </c>
      <c r="F54" s="2">
        <f>(RawData!O54)*M54</f>
        <v>0</v>
      </c>
      <c r="G54" s="35">
        <f>RawData!H54</f>
        <v>1500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0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C</v>
      </c>
      <c r="E55" s="2" t="str">
        <f>RawData!C55&amp; " "&amp;RawData!E55</f>
        <v>Tyler Zeller</v>
      </c>
      <c r="F55" s="2">
        <f>(RawData!O55)*M55</f>
        <v>0</v>
      </c>
      <c r="G55" s="35">
        <f>RawData!H55</f>
        <v>1500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SG</v>
      </c>
      <c r="E56" s="2" t="str">
        <f>RawData!C56&amp; " "&amp;RawData!E56</f>
        <v>Jordan McRae</v>
      </c>
      <c r="F56" s="2">
        <f>(RawData!O56)*M56</f>
        <v>0</v>
      </c>
      <c r="G56" s="35">
        <f>RawData!H56</f>
        <v>1500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PF</v>
      </c>
      <c r="E57" s="2" t="str">
        <f>RawData!C57&amp; " "&amp;RawData!E57</f>
        <v>Jordan Mickey</v>
      </c>
      <c r="F57" s="2">
        <f>(RawData!O57)*M57</f>
        <v>0</v>
      </c>
      <c r="G57" s="35">
        <f>RawData!H57</f>
        <v>1500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PF</v>
      </c>
      <c r="E58" s="2" t="str">
        <f>RawData!C58&amp; " "&amp;RawData!E58</f>
        <v>Jonas Jerebko</v>
      </c>
      <c r="F58" s="2">
        <f>(RawData!O58)*M58</f>
        <v>0</v>
      </c>
      <c r="G58" s="35">
        <f>RawData!H58</f>
        <v>1500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SG</v>
      </c>
      <c r="E59" s="2" t="str">
        <f>RawData!C59&amp; " "&amp;RawData!E59</f>
        <v>Bryn Forbes</v>
      </c>
      <c r="F59" s="2">
        <f>(RawData!O59)*M59</f>
        <v>0</v>
      </c>
      <c r="G59" s="35">
        <f>RawData!H59</f>
        <v>1500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C</v>
      </c>
      <c r="E60" s="2" t="str">
        <f>RawData!C60&amp; " "&amp;RawData!E60</f>
        <v>Damian Jones</v>
      </c>
      <c r="F60" s="2">
        <f>(RawData!O60)*M60</f>
        <v>0</v>
      </c>
      <c r="G60" s="35">
        <f>RawData!H60</f>
        <v>1500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RawData!B61</f>
        <v>SG</v>
      </c>
      <c r="E61" s="2" t="str">
        <f>RawData!C61&amp; " "&amp;RawData!E61</f>
        <v>Dahntay Jones</v>
      </c>
      <c r="F61" s="2">
        <f>(RawData!O61)*M61</f>
        <v>0</v>
      </c>
      <c r="G61" s="35">
        <f>RawData!H61</f>
        <v>1400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RawData!B62</f>
        <v>SF</v>
      </c>
      <c r="E62" s="2" t="str">
        <f>RawData!C62&amp; " "&amp;RawData!E62</f>
        <v>Davis Bertans</v>
      </c>
      <c r="F62" s="2">
        <f>(RawData!O62)*M62</f>
        <v>0</v>
      </c>
      <c r="G62" s="35">
        <f>RawData!H62</f>
        <v>1300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>
        <f>RawData!B63</f>
        <v>0</v>
      </c>
      <c r="E63" s="2" t="str">
        <f>RawData!C63&amp; " "&amp;RawData!E63</f>
        <v xml:space="preserve"> </v>
      </c>
      <c r="F63" s="2">
        <f>(RawData!O63)*M63</f>
        <v>0</v>
      </c>
      <c r="G63" s="35">
        <f>RawData!H63</f>
        <v>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>
        <f>RawData!B64</f>
        <v>0</v>
      </c>
      <c r="E64" s="2" t="str">
        <f>RawData!C64&amp; " "&amp;RawData!E64</f>
        <v xml:space="preserve"> </v>
      </c>
      <c r="F64" s="2">
        <f>(RawData!O64)*M64</f>
        <v>0</v>
      </c>
      <c r="G64" s="35">
        <f>RawData!H64</f>
        <v>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>
        <f>RawData!B65</f>
        <v>0</v>
      </c>
      <c r="E65" s="2" t="str">
        <f>RawData!C65&amp; " "&amp;RawData!E65</f>
        <v xml:space="preserve"> </v>
      </c>
      <c r="F65" s="2">
        <f>(RawData!O65)*M65</f>
        <v>0</v>
      </c>
      <c r="G65" s="35">
        <f>RawData!H65</f>
        <v>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>
        <f>RawData!B66</f>
        <v>0</v>
      </c>
      <c r="E66" s="2" t="str">
        <f>RawData!C66&amp; " "&amp;RawData!E66</f>
        <v xml:space="preserve"> </v>
      </c>
      <c r="F66" s="2">
        <f>(RawData!O66)*M66</f>
        <v>0</v>
      </c>
      <c r="G66" s="35">
        <f>RawData!H66</f>
        <v>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>
        <f>RawData!B67</f>
        <v>0</v>
      </c>
      <c r="E67" s="2" t="str">
        <f>RawData!C67&amp; " "&amp;RawData!E67</f>
        <v xml:space="preserve"> </v>
      </c>
      <c r="F67" s="2">
        <f>(RawData!O67)*M67</f>
        <v>0</v>
      </c>
      <c r="G67" s="35">
        <f>RawData!H67</f>
        <v>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>
        <f>RawData!B68</f>
        <v>0</v>
      </c>
      <c r="E68" s="2" t="str">
        <f>RawData!C68&amp; " "&amp;RawData!E68</f>
        <v xml:space="preserve"> </v>
      </c>
      <c r="F68" s="2">
        <f>(RawData!O68)*M68</f>
        <v>0</v>
      </c>
      <c r="G68" s="35">
        <f>RawData!H68</f>
        <v>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>
        <f>RawData!B69</f>
        <v>0</v>
      </c>
      <c r="E69" s="2" t="str">
        <f>RawData!C69&amp; " "&amp;RawData!E69</f>
        <v xml:space="preserve"> </v>
      </c>
      <c r="F69" s="2">
        <f>(RawData!O69)*M69</f>
        <v>0</v>
      </c>
      <c r="G69" s="35">
        <f>RawData!H69</f>
        <v>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>
        <f>RawData!B70</f>
        <v>0</v>
      </c>
      <c r="E70" s="2" t="str">
        <f>RawData!C70&amp; " "&amp;RawData!E70</f>
        <v xml:space="preserve"> </v>
      </c>
      <c r="F70" s="2">
        <f>(RawData!O70)*M70</f>
        <v>0</v>
      </c>
      <c r="G70" s="35">
        <f>RawData!H70</f>
        <v>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>
        <f>RawData!B71</f>
        <v>0</v>
      </c>
      <c r="E71" s="2" t="str">
        <f>RawData!C71&amp; " "&amp;RawData!E71</f>
        <v xml:space="preserve"> </v>
      </c>
      <c r="F71" s="2">
        <f>(RawData!O71)*M71</f>
        <v>0</v>
      </c>
      <c r="G71" s="35">
        <f>RawData!H71</f>
        <v>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>
        <f>RawData!B72</f>
        <v>0</v>
      </c>
      <c r="E72" s="2" t="str">
        <f>RawData!C72&amp; " "&amp;RawData!E72</f>
        <v xml:space="preserve"> </v>
      </c>
      <c r="F72" s="2">
        <f>(RawData!O72)*M72</f>
        <v>0</v>
      </c>
      <c r="G72" s="35">
        <f>RawData!H72</f>
        <v>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>
        <f>RawData!B73</f>
        <v>0</v>
      </c>
      <c r="E73" s="2" t="str">
        <f>RawData!C73&amp; " "&amp;RawData!E73</f>
        <v xml:space="preserve"> </v>
      </c>
      <c r="F73" s="2">
        <f>(RawData!O73)*M73</f>
        <v>0</v>
      </c>
      <c r="G73" s="35">
        <f>RawData!H73</f>
        <v>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>
        <f>RawData!B74</f>
        <v>0</v>
      </c>
      <c r="E74" s="2" t="str">
        <f>RawData!C74&amp; " "&amp;RawData!E74</f>
        <v xml:space="preserve"> </v>
      </c>
      <c r="F74" s="2">
        <f>(RawData!O74)*M74</f>
        <v>0</v>
      </c>
      <c r="G74" s="35">
        <f>RawData!H74</f>
        <v>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>
        <f>RawData!B75</f>
        <v>0</v>
      </c>
      <c r="E75" s="2" t="str">
        <f>RawData!C75&amp; " "&amp;RawData!E75</f>
        <v xml:space="preserve"> </v>
      </c>
      <c r="F75" s="2">
        <f>(RawData!O75)*M75</f>
        <v>0</v>
      </c>
      <c r="G75" s="35">
        <f>RawData!H75</f>
        <v>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>
        <f>RawData!B76</f>
        <v>0</v>
      </c>
      <c r="E76" s="2" t="str">
        <f>RawData!C76&amp; " "&amp;RawData!E76</f>
        <v xml:space="preserve"> </v>
      </c>
      <c r="F76" s="2">
        <f>(RawData!O76)*M76</f>
        <v>0</v>
      </c>
      <c r="G76" s="35">
        <f>RawData!H76</f>
        <v>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>
        <f>RawData!B77</f>
        <v>0</v>
      </c>
      <c r="E77" s="2" t="str">
        <f>RawData!C77&amp; " "&amp;RawData!E77</f>
        <v xml:space="preserve"> </v>
      </c>
      <c r="F77" s="2">
        <f>(RawData!O77)*M77</f>
        <v>0</v>
      </c>
      <c r="G77" s="35">
        <f>RawData!H77</f>
        <v>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>
        <f>RawData!B78</f>
        <v>0</v>
      </c>
      <c r="E78" s="2" t="str">
        <f>RawData!C78&amp; " "&amp;RawData!E78</f>
        <v xml:space="preserve"> </v>
      </c>
      <c r="F78" s="2">
        <f>(RawData!O78)*M78</f>
        <v>0</v>
      </c>
      <c r="G78" s="35">
        <f>RawData!H78</f>
        <v>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>
        <f>RawData!B79</f>
        <v>0</v>
      </c>
      <c r="E79" s="2" t="str">
        <f>RawData!C79&amp; " "&amp;RawData!E79</f>
        <v xml:space="preserve"> </v>
      </c>
      <c r="F79" s="2">
        <f>(RawData!O79)*M79</f>
        <v>0</v>
      </c>
      <c r="G79" s="35">
        <f>RawData!H79</f>
        <v>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>
        <f>RawData!B80</f>
        <v>0</v>
      </c>
      <c r="E80" s="2" t="str">
        <f>RawData!C80&amp; " "&amp;RawData!E80</f>
        <v xml:space="preserve"> </v>
      </c>
      <c r="F80" s="2">
        <f>(RawData!O80)*M80</f>
        <v>0</v>
      </c>
      <c r="G80" s="35">
        <f>RawData!H80</f>
        <v>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>
        <f>RawData!B81</f>
        <v>0</v>
      </c>
      <c r="E81" s="2" t="str">
        <f>RawData!C81&amp; " "&amp;RawData!E81</f>
        <v xml:space="preserve"> </v>
      </c>
      <c r="F81" s="2">
        <f>(RawData!O81)*M81</f>
        <v>0</v>
      </c>
      <c r="G81" s="35">
        <f>RawData!H81</f>
        <v>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>
        <f>RawData!B82</f>
        <v>0</v>
      </c>
      <c r="E82" s="2" t="str">
        <f>RawData!C82&amp; " "&amp;RawData!E82</f>
        <v xml:space="preserve"> </v>
      </c>
      <c r="F82" s="2">
        <f>(RawData!O82)*M82</f>
        <v>0</v>
      </c>
      <c r="G82" s="35">
        <f>RawData!H82</f>
        <v>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>
        <f>RawData!B83</f>
        <v>0</v>
      </c>
      <c r="E83" s="2" t="str">
        <f>RawData!C83&amp; " "&amp;RawData!E83</f>
        <v xml:space="preserve"> </v>
      </c>
      <c r="F83" s="2">
        <f>(RawData!O83)*M83</f>
        <v>0</v>
      </c>
      <c r="G83" s="35">
        <f>RawData!H83</f>
        <v>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>
        <f>RawData!B84</f>
        <v>0</v>
      </c>
      <c r="E84" s="2" t="str">
        <f>RawData!C84&amp; " "&amp;RawData!E84</f>
        <v xml:space="preserve"> </v>
      </c>
      <c r="F84" s="2">
        <f>(RawData!O84)*M84</f>
        <v>0</v>
      </c>
      <c r="G84" s="35">
        <f>RawData!H84</f>
        <v>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>
        <f>RawData!B85</f>
        <v>0</v>
      </c>
      <c r="E85" s="2" t="str">
        <f>RawData!C85&amp; " "&amp;RawData!E85</f>
        <v xml:space="preserve"> </v>
      </c>
      <c r="F85" s="2">
        <f>(RawData!O85)*M85</f>
        <v>0</v>
      </c>
      <c r="G85" s="35">
        <f>RawData!H85</f>
        <v>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>
        <f>RawData!B86</f>
        <v>0</v>
      </c>
      <c r="E86" s="2" t="str">
        <f>RawData!C86&amp; " "&amp;RawData!E86</f>
        <v xml:space="preserve"> </v>
      </c>
      <c r="F86" s="2">
        <f>(RawData!O86)*M86</f>
        <v>0</v>
      </c>
      <c r="G86" s="35">
        <f>RawData!H86</f>
        <v>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>
        <f>RawData!B87</f>
        <v>0</v>
      </c>
      <c r="E87" s="2" t="str">
        <f>RawData!C87&amp; " "&amp;RawData!E87</f>
        <v xml:space="preserve"> </v>
      </c>
      <c r="F87" s="2">
        <f>(RawData!O87)*M87</f>
        <v>0</v>
      </c>
      <c r="G87" s="35">
        <f>RawData!H87</f>
        <v>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>
        <f>RawData!B88</f>
        <v>0</v>
      </c>
      <c r="E88" s="2" t="str">
        <f>RawData!C88&amp; " "&amp;RawData!E88</f>
        <v xml:space="preserve"> </v>
      </c>
      <c r="F88" s="2">
        <f>(RawData!O88)*M88</f>
        <v>0</v>
      </c>
      <c r="G88" s="35">
        <f>RawData!H88</f>
        <v>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>
        <f>RawData!B89</f>
        <v>0</v>
      </c>
      <c r="E89" s="2" t="str">
        <f>RawData!C89&amp; " "&amp;RawData!E89</f>
        <v xml:space="preserve"> </v>
      </c>
      <c r="F89" s="2">
        <f>(RawData!O89)*M89</f>
        <v>0</v>
      </c>
      <c r="G89" s="35">
        <f>RawData!H89</f>
        <v>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>
        <f>RawData!B90</f>
        <v>0</v>
      </c>
      <c r="E90" s="2" t="str">
        <f>RawData!C90&amp; " "&amp;RawData!E90</f>
        <v xml:space="preserve"> </v>
      </c>
      <c r="F90" s="2">
        <f>(RawData!O90)*M90</f>
        <v>0</v>
      </c>
      <c r="G90" s="35">
        <f>RawData!H90</f>
        <v>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>
        <f>RawData!B91</f>
        <v>0</v>
      </c>
      <c r="E91" s="2" t="str">
        <f>RawData!C91&amp; " "&amp;RawData!E91</f>
        <v xml:space="preserve"> </v>
      </c>
      <c r="F91" s="2">
        <f>(RawData!O91)*M91</f>
        <v>0</v>
      </c>
      <c r="G91" s="35">
        <f>RawData!H91</f>
        <v>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>
        <f>RawData!B92</f>
        <v>0</v>
      </c>
      <c r="E92" s="2" t="str">
        <f>RawData!C92&amp; " "&amp;RawData!E92</f>
        <v xml:space="preserve"> </v>
      </c>
      <c r="F92" s="2">
        <f>(RawData!O92)*M92</f>
        <v>0</v>
      </c>
      <c r="G92" s="35">
        <f>RawData!H92</f>
        <v>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>
        <f>RawData!B93</f>
        <v>0</v>
      </c>
      <c r="E93" s="2" t="str">
        <f>RawData!C93&amp; " "&amp;RawData!E93</f>
        <v xml:space="preserve"> </v>
      </c>
      <c r="F93" s="2">
        <f>(RawData!O93)*M93</f>
        <v>0</v>
      </c>
      <c r="G93" s="35">
        <f>RawData!H93</f>
        <v>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>
        <f>RawData!B94</f>
        <v>0</v>
      </c>
      <c r="E94" s="2" t="str">
        <f>RawData!C94&amp; " "&amp;RawData!E94</f>
        <v xml:space="preserve"> </v>
      </c>
      <c r="F94" s="2">
        <f>(RawData!O94)*M94</f>
        <v>0</v>
      </c>
      <c r="G94" s="35">
        <f>RawData!H94</f>
        <v>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>
        <f>RawData!B95</f>
        <v>0</v>
      </c>
      <c r="E95" s="2" t="str">
        <f>RawData!C95&amp; " "&amp;RawData!E95</f>
        <v xml:space="preserve"> </v>
      </c>
      <c r="F95" s="2">
        <f>(RawData!O95)*M95</f>
        <v>0</v>
      </c>
      <c r="G95" s="35">
        <f>RawData!H95</f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>
        <f>RawData!B96</f>
        <v>0</v>
      </c>
      <c r="E96" s="2" t="str">
        <f>RawData!C96&amp; " "&amp;RawData!E96</f>
        <v xml:space="preserve"> </v>
      </c>
      <c r="F96" s="2">
        <f>(RawData!O96)*M96</f>
        <v>0</v>
      </c>
      <c r="G96" s="35">
        <f>RawData!H96</f>
        <v>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>
        <f>RawData!B97</f>
        <v>0</v>
      </c>
      <c r="E97" s="2" t="str">
        <f>RawData!C97&amp; " "&amp;RawData!E97</f>
        <v xml:space="preserve"> </v>
      </c>
      <c r="F97" s="2">
        <f>(RawData!O97)*M97</f>
        <v>0</v>
      </c>
      <c r="G97" s="35">
        <f>RawData!H97</f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>
        <f>RawData!B98</f>
        <v>0</v>
      </c>
      <c r="E98" s="2" t="str">
        <f>RawData!C98&amp; " "&amp;RawData!E98</f>
        <v xml:space="preserve"> </v>
      </c>
      <c r="F98" s="2">
        <f>(RawData!O98)*M98</f>
        <v>0</v>
      </c>
      <c r="G98" s="35">
        <f>RawData!H98</f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>
        <f>RawData!B99</f>
        <v>0</v>
      </c>
      <c r="E99" s="2" t="str">
        <f>RawData!C99&amp; " "&amp;RawData!E99</f>
        <v xml:space="preserve"> </v>
      </c>
      <c r="F99" s="2">
        <f>(RawData!O99)*M99</f>
        <v>0</v>
      </c>
      <c r="G99" s="35">
        <f>RawData!H99</f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>
        <f>RawData!B100</f>
        <v>0</v>
      </c>
      <c r="E100" s="2" t="str">
        <f>RawData!C100&amp; " "&amp;RawData!E100</f>
        <v xml:space="preserve"> </v>
      </c>
      <c r="F100" s="2">
        <f>(RawData!O100)*M100</f>
        <v>0</v>
      </c>
      <c r="G100" s="35">
        <f>RawData!H100</f>
        <v>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>
        <f>RawData!B101</f>
        <v>0</v>
      </c>
      <c r="E101" s="2" t="str">
        <f>RawData!C101&amp; " "&amp;RawData!E101</f>
        <v xml:space="preserve"> </v>
      </c>
      <c r="F101" s="2">
        <f>(RawData!O101)*M101</f>
        <v>0</v>
      </c>
      <c r="G101" s="35">
        <f>RawData!H101</f>
        <v>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2"/>
  <sheetViews>
    <sheetView workbookViewId="0">
      <selection activeCell="O27" sqref="O27"/>
    </sheetView>
  </sheetViews>
  <sheetFormatPr defaultRowHeight="15" x14ac:dyDescent="0.25"/>
  <cols>
    <col min="1" max="16384" width="9.140625" style="2"/>
  </cols>
  <sheetData>
    <row r="1" spans="1:15" x14ac:dyDescent="0.25">
      <c r="A1" s="2" t="s">
        <v>32</v>
      </c>
      <c r="B1" s="2" t="s">
        <v>0</v>
      </c>
      <c r="C1" s="2" t="s">
        <v>33</v>
      </c>
      <c r="D1" s="2" t="s">
        <v>34</v>
      </c>
      <c r="E1" s="2" t="s">
        <v>35</v>
      </c>
      <c r="F1" s="2" t="s">
        <v>36</v>
      </c>
      <c r="G1" s="2" t="s">
        <v>37</v>
      </c>
      <c r="H1" s="2" t="s">
        <v>38</v>
      </c>
      <c r="I1" s="2" t="s">
        <v>1</v>
      </c>
      <c r="J1" s="2" t="s">
        <v>2</v>
      </c>
      <c r="K1" s="2" t="s">
        <v>39</v>
      </c>
      <c r="L1" s="2" t="s">
        <v>40</v>
      </c>
      <c r="M1" s="2" t="s">
        <v>41</v>
      </c>
    </row>
    <row r="2" spans="1:15" x14ac:dyDescent="0.25">
      <c r="A2" s="2" t="s">
        <v>176</v>
      </c>
      <c r="B2" s="2" t="s">
        <v>5</v>
      </c>
      <c r="C2" s="2" t="s">
        <v>177</v>
      </c>
      <c r="D2" s="2" t="s">
        <v>172</v>
      </c>
      <c r="E2" s="2" t="s">
        <v>42</v>
      </c>
      <c r="F2" s="2">
        <v>49.443243903082703</v>
      </c>
      <c r="G2" s="2">
        <v>74</v>
      </c>
      <c r="H2" s="2">
        <v>12500</v>
      </c>
      <c r="I2" s="2" t="s">
        <v>178</v>
      </c>
      <c r="J2" s="2" t="s">
        <v>43</v>
      </c>
      <c r="K2" s="2" t="s">
        <v>114</v>
      </c>
      <c r="N2" s="2">
        <f>VLOOKUP(D2,Sheet2!$A$1:$H$42,8, FALSE)</f>
        <v>55.87</v>
      </c>
      <c r="O2" s="2">
        <v>55.87</v>
      </c>
    </row>
    <row r="3" spans="1:15" x14ac:dyDescent="0.25">
      <c r="A3" s="2" t="s">
        <v>179</v>
      </c>
      <c r="B3" s="2" t="s">
        <v>5</v>
      </c>
      <c r="C3" s="2" t="s">
        <v>69</v>
      </c>
      <c r="D3" s="2" t="s">
        <v>63</v>
      </c>
      <c r="E3" s="2" t="s">
        <v>70</v>
      </c>
      <c r="F3" s="2">
        <v>40.756756756756701</v>
      </c>
      <c r="G3" s="2">
        <v>74</v>
      </c>
      <c r="H3" s="2">
        <v>11000</v>
      </c>
      <c r="I3" s="2" t="s">
        <v>180</v>
      </c>
      <c r="J3" s="2" t="s">
        <v>68</v>
      </c>
      <c r="K3" s="2" t="s">
        <v>181</v>
      </c>
      <c r="L3" s="2" t="s">
        <v>182</v>
      </c>
      <c r="M3" s="2" t="s">
        <v>183</v>
      </c>
      <c r="N3" s="2">
        <f>VLOOKUP(D3,Sheet2!$A$1:$H$42,8, FALSE)</f>
        <v>46.06</v>
      </c>
      <c r="O3" s="2">
        <v>46.06</v>
      </c>
    </row>
    <row r="4" spans="1:15" x14ac:dyDescent="0.25">
      <c r="A4" s="2" t="s">
        <v>184</v>
      </c>
      <c r="B4" s="2" t="s">
        <v>5</v>
      </c>
      <c r="C4" s="2" t="s">
        <v>44</v>
      </c>
      <c r="D4" s="2" t="s">
        <v>166</v>
      </c>
      <c r="E4" s="2" t="s">
        <v>185</v>
      </c>
      <c r="F4" s="2">
        <v>45.364517704133</v>
      </c>
      <c r="G4" s="2">
        <v>62</v>
      </c>
      <c r="H4" s="2">
        <v>10000</v>
      </c>
      <c r="I4" s="2" t="s">
        <v>180</v>
      </c>
      <c r="J4" s="2" t="s">
        <v>181</v>
      </c>
      <c r="K4" s="2" t="s">
        <v>68</v>
      </c>
      <c r="N4" s="2">
        <f>VLOOKUP(D4,Sheet2!$A$1:$H$42,8, FALSE)</f>
        <v>46.81</v>
      </c>
      <c r="O4" s="2">
        <v>46.81</v>
      </c>
    </row>
    <row r="5" spans="1:15" x14ac:dyDescent="0.25">
      <c r="A5" s="2" t="s">
        <v>186</v>
      </c>
      <c r="B5" s="2" t="s">
        <v>3</v>
      </c>
      <c r="C5" s="2" t="s">
        <v>187</v>
      </c>
      <c r="D5" s="2" t="s">
        <v>171</v>
      </c>
      <c r="E5" s="2" t="s">
        <v>188</v>
      </c>
      <c r="F5" s="2">
        <v>41.615191109572699</v>
      </c>
      <c r="G5" s="2">
        <v>79</v>
      </c>
      <c r="H5" s="2">
        <v>10000</v>
      </c>
      <c r="I5" s="2" t="s">
        <v>180</v>
      </c>
      <c r="J5" s="2" t="s">
        <v>181</v>
      </c>
      <c r="K5" s="2" t="s">
        <v>68</v>
      </c>
      <c r="N5" s="2">
        <f>VLOOKUP(D5,Sheet2!$A$1:$H$42,8, FALSE)</f>
        <v>46.2</v>
      </c>
      <c r="O5" s="2">
        <v>46.2</v>
      </c>
    </row>
    <row r="6" spans="1:15" x14ac:dyDescent="0.25">
      <c r="A6" s="2" t="s">
        <v>189</v>
      </c>
      <c r="B6" s="2" t="s">
        <v>3</v>
      </c>
      <c r="C6" s="2" t="s">
        <v>115</v>
      </c>
      <c r="D6" s="2" t="s">
        <v>116</v>
      </c>
      <c r="E6" s="2" t="s">
        <v>117</v>
      </c>
      <c r="F6" s="2">
        <v>40.434210526315702</v>
      </c>
      <c r="G6" s="2">
        <v>76</v>
      </c>
      <c r="H6" s="2">
        <v>9200</v>
      </c>
      <c r="I6" s="2" t="s">
        <v>178</v>
      </c>
      <c r="J6" s="2" t="s">
        <v>114</v>
      </c>
      <c r="K6" s="2" t="s">
        <v>43</v>
      </c>
      <c r="N6" s="2">
        <f>VLOOKUP(D6,Sheet2!$A$1:$H$42,8, FALSE)</f>
        <v>44.63</v>
      </c>
      <c r="O6" s="2">
        <v>44.63</v>
      </c>
    </row>
    <row r="7" spans="1:15" x14ac:dyDescent="0.25">
      <c r="A7" s="2" t="s">
        <v>190</v>
      </c>
      <c r="B7" s="2" t="s">
        <v>3</v>
      </c>
      <c r="C7" s="2" t="s">
        <v>191</v>
      </c>
      <c r="D7" s="2" t="s">
        <v>175</v>
      </c>
      <c r="E7" s="2" t="s">
        <v>192</v>
      </c>
      <c r="F7" s="2">
        <v>38.2361111111111</v>
      </c>
      <c r="G7" s="2">
        <v>72</v>
      </c>
      <c r="H7" s="2">
        <v>8800</v>
      </c>
      <c r="I7" s="2" t="s">
        <v>178</v>
      </c>
      <c r="J7" s="2" t="s">
        <v>43</v>
      </c>
      <c r="K7" s="2" t="s">
        <v>114</v>
      </c>
      <c r="N7" s="2">
        <f>VLOOKUP(D7,Sheet2!$A$1:$H$42,8, FALSE)</f>
        <v>38.35</v>
      </c>
      <c r="O7" s="2">
        <v>38.35</v>
      </c>
    </row>
    <row r="8" spans="1:15" x14ac:dyDescent="0.25">
      <c r="A8" s="2" t="s">
        <v>193</v>
      </c>
      <c r="B8" s="2" t="s">
        <v>4</v>
      </c>
      <c r="C8" s="2" t="s">
        <v>194</v>
      </c>
      <c r="D8" s="2" t="s">
        <v>158</v>
      </c>
      <c r="E8" s="2" t="s">
        <v>82</v>
      </c>
      <c r="F8" s="2">
        <v>34.609211168791099</v>
      </c>
      <c r="G8" s="2">
        <v>76</v>
      </c>
      <c r="H8" s="2">
        <v>8600</v>
      </c>
      <c r="I8" s="2" t="s">
        <v>180</v>
      </c>
      <c r="J8" s="2" t="s">
        <v>181</v>
      </c>
      <c r="K8" s="2" t="s">
        <v>68</v>
      </c>
      <c r="N8" s="2">
        <f>VLOOKUP(D8,Sheet2!$A$1:$H$42,8, FALSE)</f>
        <v>38.770000000000003</v>
      </c>
      <c r="O8" s="2">
        <v>38.770000000000003</v>
      </c>
    </row>
    <row r="9" spans="1:15" x14ac:dyDescent="0.25">
      <c r="A9" s="2" t="s">
        <v>195</v>
      </c>
      <c r="B9" s="2" t="s">
        <v>4</v>
      </c>
      <c r="C9" s="2" t="s">
        <v>72</v>
      </c>
      <c r="D9" s="2" t="s">
        <v>65</v>
      </c>
      <c r="E9" s="2" t="s">
        <v>73</v>
      </c>
      <c r="F9" s="2">
        <v>31.2375013563368</v>
      </c>
      <c r="G9" s="2">
        <v>72</v>
      </c>
      <c r="H9" s="2">
        <v>8000</v>
      </c>
      <c r="I9" s="2" t="s">
        <v>180</v>
      </c>
      <c r="J9" s="2" t="s">
        <v>68</v>
      </c>
      <c r="K9" s="2" t="s">
        <v>181</v>
      </c>
      <c r="N9" s="2">
        <f>VLOOKUP(D9,Sheet2!$A$1:$H$42,8, FALSE)</f>
        <v>36.409999999999997</v>
      </c>
      <c r="O9" s="2">
        <v>36.409999999999997</v>
      </c>
    </row>
    <row r="10" spans="1:15" x14ac:dyDescent="0.25">
      <c r="A10" s="2" t="s">
        <v>196</v>
      </c>
      <c r="B10" s="2" t="s">
        <v>6</v>
      </c>
      <c r="C10" s="2" t="s">
        <v>76</v>
      </c>
      <c r="D10" s="2" t="s">
        <v>118</v>
      </c>
      <c r="E10" s="2" t="s">
        <v>119</v>
      </c>
      <c r="F10" s="2">
        <v>32.0073529411764</v>
      </c>
      <c r="G10" s="2">
        <v>68</v>
      </c>
      <c r="H10" s="2">
        <v>8000</v>
      </c>
      <c r="I10" s="2" t="s">
        <v>178</v>
      </c>
      <c r="J10" s="2" t="s">
        <v>114</v>
      </c>
      <c r="K10" s="2" t="s">
        <v>43</v>
      </c>
      <c r="N10" s="2">
        <f>VLOOKUP(D10,Sheet2!$A$1:$H$42,8, FALSE)</f>
        <v>36.31</v>
      </c>
      <c r="O10" s="2">
        <v>36.31</v>
      </c>
    </row>
    <row r="11" spans="1:15" x14ac:dyDescent="0.25">
      <c r="A11" s="2" t="s">
        <v>197</v>
      </c>
      <c r="B11" s="2" t="s">
        <v>4</v>
      </c>
      <c r="C11" s="2" t="s">
        <v>44</v>
      </c>
      <c r="D11" s="2" t="s">
        <v>173</v>
      </c>
      <c r="E11" s="2" t="s">
        <v>198</v>
      </c>
      <c r="F11" s="2">
        <v>35.6866658528645</v>
      </c>
      <c r="G11" s="2">
        <v>60</v>
      </c>
      <c r="H11" s="2">
        <v>7500</v>
      </c>
      <c r="I11" s="2" t="s">
        <v>178</v>
      </c>
      <c r="J11" s="2" t="s">
        <v>43</v>
      </c>
      <c r="K11" s="2" t="s">
        <v>114</v>
      </c>
      <c r="N11" s="2">
        <f>VLOOKUP(D11,Sheet2!$A$1:$H$42,8, FALSE)</f>
        <v>36.36</v>
      </c>
      <c r="O11" s="2">
        <v>36.36</v>
      </c>
    </row>
    <row r="12" spans="1:15" x14ac:dyDescent="0.25">
      <c r="A12" s="2" t="s">
        <v>199</v>
      </c>
      <c r="B12" s="2" t="s">
        <v>7</v>
      </c>
      <c r="C12" s="2" t="s">
        <v>200</v>
      </c>
      <c r="D12" s="2" t="s">
        <v>159</v>
      </c>
      <c r="E12" s="2" t="s">
        <v>201</v>
      </c>
      <c r="F12" s="2">
        <v>30.871794871794801</v>
      </c>
      <c r="G12" s="2">
        <v>78</v>
      </c>
      <c r="H12" s="2">
        <v>7100</v>
      </c>
      <c r="I12" s="2" t="s">
        <v>180</v>
      </c>
      <c r="J12" s="2" t="s">
        <v>181</v>
      </c>
      <c r="K12" s="2" t="s">
        <v>68</v>
      </c>
      <c r="N12" s="2">
        <f>VLOOKUP(D12,Sheet2!$A$1:$H$42,8, FALSE)</f>
        <v>29.33</v>
      </c>
      <c r="O12" s="2">
        <v>29.33</v>
      </c>
    </row>
    <row r="13" spans="1:15" x14ac:dyDescent="0.25">
      <c r="A13" s="2" t="s">
        <v>202</v>
      </c>
      <c r="B13" s="2" t="s">
        <v>7</v>
      </c>
      <c r="C13" s="2" t="s">
        <v>124</v>
      </c>
      <c r="D13" s="2" t="s">
        <v>125</v>
      </c>
      <c r="E13" s="2" t="s">
        <v>120</v>
      </c>
      <c r="F13" s="2">
        <v>28.141819069602199</v>
      </c>
      <c r="G13" s="2">
        <v>55</v>
      </c>
      <c r="H13" s="2">
        <v>6500</v>
      </c>
      <c r="I13" s="2" t="s">
        <v>178</v>
      </c>
      <c r="J13" s="2" t="s">
        <v>114</v>
      </c>
      <c r="K13" s="2" t="s">
        <v>43</v>
      </c>
      <c r="N13" s="2">
        <f>VLOOKUP(D13,Sheet2!$A$1:$H$42,8, FALSE)</f>
        <v>29.81</v>
      </c>
      <c r="O13" s="2">
        <v>29.81</v>
      </c>
    </row>
    <row r="14" spans="1:15" x14ac:dyDescent="0.25">
      <c r="A14" s="2" t="s">
        <v>203</v>
      </c>
      <c r="B14" s="2" t="s">
        <v>5</v>
      </c>
      <c r="C14" s="2" t="s">
        <v>121</v>
      </c>
      <c r="D14" s="2" t="s">
        <v>122</v>
      </c>
      <c r="E14" s="2" t="s">
        <v>123</v>
      </c>
      <c r="F14" s="2">
        <v>25.5763888888888</v>
      </c>
      <c r="G14" s="2">
        <v>72</v>
      </c>
      <c r="H14" s="2">
        <v>6300</v>
      </c>
      <c r="I14" s="2" t="s">
        <v>178</v>
      </c>
      <c r="J14" s="2" t="s">
        <v>114</v>
      </c>
      <c r="K14" s="2" t="s">
        <v>43</v>
      </c>
      <c r="N14" s="2">
        <f>VLOOKUP(D14,Sheet2!$A$1:$H$42,8, FALSE)</f>
        <v>28.98</v>
      </c>
      <c r="O14" s="2">
        <v>28.98</v>
      </c>
    </row>
    <row r="15" spans="1:15" x14ac:dyDescent="0.25">
      <c r="A15" s="2" t="s">
        <v>204</v>
      </c>
      <c r="B15" s="2" t="s">
        <v>6</v>
      </c>
      <c r="C15" s="2" t="s">
        <v>74</v>
      </c>
      <c r="D15" s="2" t="s">
        <v>75</v>
      </c>
      <c r="E15" s="2" t="s">
        <v>71</v>
      </c>
      <c r="F15" s="2">
        <v>26.956249237060501</v>
      </c>
      <c r="G15" s="2">
        <v>64</v>
      </c>
      <c r="H15" s="2">
        <v>6100</v>
      </c>
      <c r="I15" s="2" t="s">
        <v>180</v>
      </c>
      <c r="J15" s="2" t="s">
        <v>68</v>
      </c>
      <c r="K15" s="2" t="s">
        <v>181</v>
      </c>
      <c r="N15" s="2">
        <f>VLOOKUP(D15,Sheet2!$A$1:$H$42,8, FALSE)</f>
        <v>20.079999999999998</v>
      </c>
      <c r="O15" s="2">
        <v>20.079999999999998</v>
      </c>
    </row>
    <row r="16" spans="1:15" x14ac:dyDescent="0.25">
      <c r="A16" s="2" t="s">
        <v>205</v>
      </c>
      <c r="B16" s="2" t="s">
        <v>3</v>
      </c>
      <c r="C16" s="2" t="s">
        <v>85</v>
      </c>
      <c r="D16" s="2" t="s">
        <v>86</v>
      </c>
      <c r="E16" s="2" t="s">
        <v>87</v>
      </c>
      <c r="F16" s="2">
        <v>17.289999389648401</v>
      </c>
      <c r="G16" s="2">
        <v>80</v>
      </c>
      <c r="H16" s="2">
        <v>5200</v>
      </c>
      <c r="I16" s="2" t="s">
        <v>180</v>
      </c>
      <c r="J16" s="2" t="s">
        <v>68</v>
      </c>
      <c r="K16" s="2" t="s">
        <v>181</v>
      </c>
      <c r="N16" s="2">
        <f>VLOOKUP(D16,Sheet2!$A$1:$H$42,8, FALSE)</f>
        <v>23.97</v>
      </c>
      <c r="O16" s="2">
        <v>23.97</v>
      </c>
    </row>
    <row r="17" spans="1:15" x14ac:dyDescent="0.25">
      <c r="A17" s="2" t="s">
        <v>206</v>
      </c>
      <c r="B17" s="2" t="s">
        <v>6</v>
      </c>
      <c r="C17" s="2" t="s">
        <v>207</v>
      </c>
      <c r="D17" s="2" t="s">
        <v>170</v>
      </c>
      <c r="E17" s="2" t="s">
        <v>201</v>
      </c>
      <c r="F17" s="2">
        <v>22.8910256410256</v>
      </c>
      <c r="G17" s="2">
        <v>78</v>
      </c>
      <c r="H17" s="2">
        <v>5100</v>
      </c>
      <c r="I17" s="2" t="s">
        <v>178</v>
      </c>
      <c r="J17" s="2" t="s">
        <v>43</v>
      </c>
      <c r="K17" s="2" t="s">
        <v>114</v>
      </c>
      <c r="N17" s="2">
        <f>VLOOKUP(D17,Sheet2!$A$1:$H$42,8, FALSE)</f>
        <v>27.5</v>
      </c>
      <c r="O17" s="2">
        <v>27.5</v>
      </c>
    </row>
    <row r="18" spans="1:15" x14ac:dyDescent="0.25">
      <c r="A18" s="2" t="s">
        <v>208</v>
      </c>
      <c r="B18" s="2" t="s">
        <v>7</v>
      </c>
      <c r="C18" s="2" t="s">
        <v>126</v>
      </c>
      <c r="D18" s="2" t="s">
        <v>127</v>
      </c>
      <c r="E18" s="2" t="s">
        <v>128</v>
      </c>
      <c r="F18" s="2">
        <v>24.126582278480999</v>
      </c>
      <c r="G18" s="2">
        <v>79</v>
      </c>
      <c r="H18" s="2">
        <v>5100</v>
      </c>
      <c r="I18" s="2" t="s">
        <v>178</v>
      </c>
      <c r="J18" s="2" t="s">
        <v>114</v>
      </c>
      <c r="K18" s="2" t="s">
        <v>43</v>
      </c>
      <c r="N18" s="2">
        <f>VLOOKUP(D18,Sheet2!$A$1:$H$42,8, FALSE)</f>
        <v>23.68</v>
      </c>
      <c r="O18" s="2">
        <v>23.68</v>
      </c>
    </row>
    <row r="19" spans="1:15" x14ac:dyDescent="0.25">
      <c r="A19" s="2" t="s">
        <v>209</v>
      </c>
      <c r="B19" s="2" t="s">
        <v>6</v>
      </c>
      <c r="C19" s="2" t="s">
        <v>129</v>
      </c>
      <c r="D19" s="2" t="s">
        <v>130</v>
      </c>
      <c r="E19" s="2" t="s">
        <v>131</v>
      </c>
      <c r="F19" s="2">
        <v>18.415999348958302</v>
      </c>
      <c r="G19" s="2">
        <v>75</v>
      </c>
      <c r="H19" s="2">
        <v>4800</v>
      </c>
      <c r="I19" s="2" t="s">
        <v>178</v>
      </c>
      <c r="J19" s="2" t="s">
        <v>114</v>
      </c>
      <c r="K19" s="2" t="s">
        <v>43</v>
      </c>
      <c r="N19" s="2">
        <f>VLOOKUP(D19,Sheet2!$A$1:$H$42,8, FALSE)</f>
        <v>19.899999999999999</v>
      </c>
      <c r="O19" s="2">
        <v>19.899999999999999</v>
      </c>
    </row>
    <row r="20" spans="1:15" x14ac:dyDescent="0.25">
      <c r="A20" s="2" t="s">
        <v>210</v>
      </c>
      <c r="B20" s="2" t="s">
        <v>5</v>
      </c>
      <c r="C20" s="2" t="s">
        <v>211</v>
      </c>
      <c r="D20" s="2" t="s">
        <v>157</v>
      </c>
      <c r="E20" s="2" t="s">
        <v>212</v>
      </c>
      <c r="F20" s="2">
        <v>19.767105905633201</v>
      </c>
      <c r="G20" s="2">
        <v>76</v>
      </c>
      <c r="H20" s="2">
        <v>4700</v>
      </c>
      <c r="I20" s="2" t="s">
        <v>180</v>
      </c>
      <c r="J20" s="2" t="s">
        <v>181</v>
      </c>
      <c r="K20" s="2" t="s">
        <v>68</v>
      </c>
      <c r="L20" s="2" t="s">
        <v>182</v>
      </c>
      <c r="M20" s="2" t="s">
        <v>46</v>
      </c>
      <c r="N20" s="2">
        <f>VLOOKUP(D20,Sheet2!$A$1:$H$42,8, FALSE)</f>
        <v>20.8</v>
      </c>
      <c r="O20" s="2">
        <v>20.8</v>
      </c>
    </row>
    <row r="21" spans="1:15" x14ac:dyDescent="0.25">
      <c r="A21" s="2" t="s">
        <v>213</v>
      </c>
      <c r="B21" s="2" t="s">
        <v>5</v>
      </c>
      <c r="C21" s="2" t="s">
        <v>104</v>
      </c>
      <c r="D21" s="2" t="s">
        <v>105</v>
      </c>
      <c r="E21" s="2" t="s">
        <v>106</v>
      </c>
      <c r="F21" s="2">
        <v>11.948717948717899</v>
      </c>
      <c r="G21" s="2">
        <v>78</v>
      </c>
      <c r="H21" s="2">
        <v>4300</v>
      </c>
      <c r="I21" s="2" t="s">
        <v>180</v>
      </c>
      <c r="J21" s="2" t="s">
        <v>68</v>
      </c>
      <c r="K21" s="2" t="s">
        <v>181</v>
      </c>
      <c r="N21" s="2">
        <f>VLOOKUP(D21,Sheet2!$A$1:$H$42,8, FALSE)</f>
        <v>17.809999999999999</v>
      </c>
      <c r="O21" s="2">
        <v>17.809999999999999</v>
      </c>
    </row>
    <row r="22" spans="1:15" x14ac:dyDescent="0.25">
      <c r="A22" s="2" t="s">
        <v>214</v>
      </c>
      <c r="B22" s="2" t="s">
        <v>7</v>
      </c>
      <c r="C22" s="2" t="s">
        <v>83</v>
      </c>
      <c r="D22" s="2" t="s">
        <v>84</v>
      </c>
      <c r="E22" s="2" t="s">
        <v>82</v>
      </c>
      <c r="F22" s="2">
        <v>16.614706600413601</v>
      </c>
      <c r="G22" s="2">
        <v>68</v>
      </c>
      <c r="H22" s="2">
        <v>4200</v>
      </c>
      <c r="I22" s="2" t="s">
        <v>180</v>
      </c>
      <c r="J22" s="2" t="s">
        <v>68</v>
      </c>
      <c r="K22" s="2" t="s">
        <v>181</v>
      </c>
      <c r="N22" s="2">
        <f>VLOOKUP(D22,Sheet2!$A$1:$H$42,8, FALSE)</f>
        <v>18.670000000000002</v>
      </c>
      <c r="O22" s="2">
        <v>18.670000000000002</v>
      </c>
    </row>
    <row r="23" spans="1:15" x14ac:dyDescent="0.25">
      <c r="A23" s="2" t="s">
        <v>215</v>
      </c>
      <c r="B23" s="2" t="s">
        <v>6</v>
      </c>
      <c r="C23" s="2" t="s">
        <v>216</v>
      </c>
      <c r="D23" s="2" t="s">
        <v>165</v>
      </c>
      <c r="E23" s="2" t="s">
        <v>217</v>
      </c>
      <c r="F23" s="2">
        <v>11.9779219193892</v>
      </c>
      <c r="G23" s="2">
        <v>77</v>
      </c>
      <c r="H23" s="2">
        <v>4000</v>
      </c>
      <c r="I23" s="2" t="s">
        <v>180</v>
      </c>
      <c r="J23" s="2" t="s">
        <v>181</v>
      </c>
      <c r="K23" s="2" t="s">
        <v>68</v>
      </c>
      <c r="N23" s="2">
        <f>VLOOKUP(D23,Sheet2!$A$1:$H$42,8, FALSE)</f>
        <v>9.67</v>
      </c>
      <c r="O23" s="2">
        <v>9.67</v>
      </c>
    </row>
    <row r="24" spans="1:15" x14ac:dyDescent="0.25">
      <c r="A24" s="2" t="s">
        <v>218</v>
      </c>
      <c r="B24" s="2" t="s">
        <v>6</v>
      </c>
      <c r="C24" s="2" t="s">
        <v>219</v>
      </c>
      <c r="D24" s="2" t="s">
        <v>156</v>
      </c>
      <c r="E24" s="2" t="s">
        <v>220</v>
      </c>
      <c r="F24" s="2">
        <v>17.328571428571401</v>
      </c>
      <c r="G24" s="2">
        <v>70</v>
      </c>
      <c r="H24" s="2">
        <v>4000</v>
      </c>
      <c r="I24" s="2" t="s">
        <v>180</v>
      </c>
      <c r="J24" s="2" t="s">
        <v>181</v>
      </c>
      <c r="K24" s="2" t="s">
        <v>68</v>
      </c>
      <c r="L24" s="2" t="s">
        <v>182</v>
      </c>
      <c r="M24" s="2" t="s">
        <v>221</v>
      </c>
      <c r="N24" s="2">
        <f>VLOOKUP(D24,Sheet2!$A$1:$H$42,8, FALSE)</f>
        <v>16.39</v>
      </c>
      <c r="O24" s="2">
        <v>16.39</v>
      </c>
    </row>
    <row r="25" spans="1:15" x14ac:dyDescent="0.25">
      <c r="A25" s="2" t="s">
        <v>222</v>
      </c>
      <c r="B25" s="2" t="s">
        <v>7</v>
      </c>
      <c r="C25" s="2" t="s">
        <v>51</v>
      </c>
      <c r="D25" s="2" t="s">
        <v>174</v>
      </c>
      <c r="E25" s="2" t="s">
        <v>223</v>
      </c>
      <c r="F25" s="2">
        <v>16.5253724055503</v>
      </c>
      <c r="G25" s="2">
        <v>67</v>
      </c>
      <c r="H25" s="2">
        <v>3500</v>
      </c>
      <c r="I25" s="2" t="s">
        <v>178</v>
      </c>
      <c r="J25" s="2" t="s">
        <v>43</v>
      </c>
      <c r="K25" s="2" t="s">
        <v>114</v>
      </c>
      <c r="N25" s="2">
        <f>VLOOKUP(D25,Sheet2!$A$1:$H$42,8, FALSE)</f>
        <v>12.53</v>
      </c>
      <c r="O25" s="2">
        <v>12.53</v>
      </c>
    </row>
    <row r="26" spans="1:15" x14ac:dyDescent="0.25">
      <c r="A26" s="2" t="s">
        <v>224</v>
      </c>
      <c r="B26" s="2" t="s">
        <v>7</v>
      </c>
      <c r="C26" s="2" t="s">
        <v>48</v>
      </c>
      <c r="D26" s="2" t="s">
        <v>162</v>
      </c>
      <c r="E26" s="2" t="s">
        <v>225</v>
      </c>
      <c r="F26" s="2">
        <v>8.1056338028169002</v>
      </c>
      <c r="G26" s="2">
        <v>71</v>
      </c>
      <c r="H26" s="2">
        <v>3500</v>
      </c>
      <c r="I26" s="2" t="s">
        <v>180</v>
      </c>
      <c r="J26" s="2" t="s">
        <v>181</v>
      </c>
      <c r="K26" s="2" t="s">
        <v>68</v>
      </c>
      <c r="N26" s="2">
        <f>VLOOKUP(D26,Sheet2!$A$1:$H$42,8, FALSE)</f>
        <v>7.02</v>
      </c>
      <c r="O26" s="2">
        <v>7.02</v>
      </c>
    </row>
    <row r="27" spans="1:15" x14ac:dyDescent="0.25">
      <c r="A27" s="2" t="s">
        <v>226</v>
      </c>
      <c r="B27" s="2" t="s">
        <v>6</v>
      </c>
      <c r="C27" s="2" t="s">
        <v>88</v>
      </c>
      <c r="D27" s="2" t="s">
        <v>89</v>
      </c>
      <c r="E27" s="2" t="s">
        <v>53</v>
      </c>
      <c r="F27" s="2">
        <v>4.1421051025390598</v>
      </c>
      <c r="G27" s="2">
        <v>19</v>
      </c>
      <c r="H27" s="2">
        <v>3500</v>
      </c>
      <c r="I27" s="2" t="s">
        <v>180</v>
      </c>
      <c r="J27" s="2" t="s">
        <v>68</v>
      </c>
      <c r="K27" s="2" t="s">
        <v>181</v>
      </c>
      <c r="N27" s="2" t="e">
        <f>VLOOKUP(D27,Sheet2!$A$1:$H$42,8, FALSE)</f>
        <v>#N/A</v>
      </c>
      <c r="O27" s="2">
        <v>0</v>
      </c>
    </row>
    <row r="28" spans="1:15" x14ac:dyDescent="0.25">
      <c r="A28" s="2" t="s">
        <v>227</v>
      </c>
      <c r="B28" s="2" t="s">
        <v>4</v>
      </c>
      <c r="C28" s="2" t="s">
        <v>228</v>
      </c>
      <c r="D28" s="2" t="s">
        <v>169</v>
      </c>
      <c r="E28" s="2" t="s">
        <v>229</v>
      </c>
      <c r="F28" s="2">
        <v>15.925675675675601</v>
      </c>
      <c r="G28" s="2">
        <v>74</v>
      </c>
      <c r="H28" s="2">
        <v>3500</v>
      </c>
      <c r="I28" s="2" t="s">
        <v>178</v>
      </c>
      <c r="J28" s="2" t="s">
        <v>43</v>
      </c>
      <c r="K28" s="2" t="s">
        <v>114</v>
      </c>
      <c r="N28" s="2">
        <f>VLOOKUP(D28,Sheet2!$A$1:$H$42,8, FALSE)</f>
        <v>10.15</v>
      </c>
      <c r="O28" s="2">
        <v>10.15</v>
      </c>
    </row>
    <row r="29" spans="1:15" x14ac:dyDescent="0.25">
      <c r="A29" s="2" t="s">
        <v>230</v>
      </c>
      <c r="B29" s="2" t="s">
        <v>7</v>
      </c>
      <c r="C29" s="2" t="s">
        <v>231</v>
      </c>
      <c r="D29" s="2" t="s">
        <v>167</v>
      </c>
      <c r="E29" s="2" t="s">
        <v>52</v>
      </c>
      <c r="F29" s="2">
        <v>15.990243306974</v>
      </c>
      <c r="G29" s="2">
        <v>41</v>
      </c>
      <c r="H29" s="2">
        <v>3300</v>
      </c>
      <c r="I29" s="2" t="s">
        <v>178</v>
      </c>
      <c r="J29" s="2" t="s">
        <v>43</v>
      </c>
      <c r="K29" s="2" t="s">
        <v>114</v>
      </c>
      <c r="N29" s="2">
        <f>VLOOKUP(D29,Sheet2!$A$1:$H$42,8, FALSE)</f>
        <v>14.71</v>
      </c>
      <c r="O29" s="2">
        <v>14.71</v>
      </c>
    </row>
    <row r="30" spans="1:15" x14ac:dyDescent="0.25">
      <c r="A30" s="2" t="s">
        <v>232</v>
      </c>
      <c r="B30" s="2" t="s">
        <v>4</v>
      </c>
      <c r="C30" s="2" t="s">
        <v>78</v>
      </c>
      <c r="D30" s="2" t="s">
        <v>164</v>
      </c>
      <c r="E30" s="2" t="s">
        <v>233</v>
      </c>
      <c r="F30" s="2">
        <v>13.0602937586167</v>
      </c>
      <c r="G30" s="2">
        <v>68</v>
      </c>
      <c r="H30" s="2">
        <v>3200</v>
      </c>
      <c r="I30" s="2" t="s">
        <v>180</v>
      </c>
      <c r="J30" s="2" t="s">
        <v>181</v>
      </c>
      <c r="K30" s="2" t="s">
        <v>68</v>
      </c>
      <c r="N30" s="2">
        <f>VLOOKUP(D30,Sheet2!$A$1:$H$42,8, FALSE)</f>
        <v>11.73</v>
      </c>
      <c r="O30" s="2">
        <v>11.73</v>
      </c>
    </row>
    <row r="31" spans="1:15" x14ac:dyDescent="0.25">
      <c r="A31" s="2" t="s">
        <v>234</v>
      </c>
      <c r="B31" s="2" t="s">
        <v>7</v>
      </c>
      <c r="C31" s="2" t="s">
        <v>49</v>
      </c>
      <c r="D31" s="2" t="s">
        <v>95</v>
      </c>
      <c r="E31" s="2" t="s">
        <v>50</v>
      </c>
      <c r="F31" s="2">
        <v>14.369736520867599</v>
      </c>
      <c r="G31" s="2">
        <v>76</v>
      </c>
      <c r="H31" s="2">
        <v>3100</v>
      </c>
      <c r="I31" s="2" t="s">
        <v>178</v>
      </c>
      <c r="J31" s="2" t="s">
        <v>43</v>
      </c>
      <c r="K31" s="2" t="s">
        <v>114</v>
      </c>
      <c r="N31" s="2">
        <f>VLOOKUP(D31,Sheet2!$A$1:$H$42,8, FALSE)</f>
        <v>11.58</v>
      </c>
      <c r="O31" s="2">
        <v>11.58</v>
      </c>
    </row>
    <row r="32" spans="1:15" x14ac:dyDescent="0.25">
      <c r="A32" s="2" t="s">
        <v>235</v>
      </c>
      <c r="B32" s="2" t="s">
        <v>4</v>
      </c>
      <c r="C32" s="2" t="s">
        <v>78</v>
      </c>
      <c r="D32" s="2" t="s">
        <v>66</v>
      </c>
      <c r="E32" s="2" t="s">
        <v>77</v>
      </c>
      <c r="F32" s="2">
        <v>17.084809508504701</v>
      </c>
      <c r="G32" s="2">
        <v>79</v>
      </c>
      <c r="H32" s="2">
        <v>3000</v>
      </c>
      <c r="I32" s="2" t="s">
        <v>180</v>
      </c>
      <c r="J32" s="2" t="s">
        <v>68</v>
      </c>
      <c r="K32" s="2" t="s">
        <v>181</v>
      </c>
      <c r="N32" s="2">
        <f>VLOOKUP(D32,Sheet2!$A$1:$H$42,8, FALSE)</f>
        <v>5.31</v>
      </c>
      <c r="O32" s="2">
        <v>5.31</v>
      </c>
    </row>
    <row r="33" spans="1:15" x14ac:dyDescent="0.25">
      <c r="A33" s="2" t="s">
        <v>236</v>
      </c>
      <c r="B33" s="2" t="s">
        <v>7</v>
      </c>
      <c r="C33" s="2" t="s">
        <v>137</v>
      </c>
      <c r="D33" s="2" t="s">
        <v>161</v>
      </c>
      <c r="E33" s="2" t="s">
        <v>237</v>
      </c>
      <c r="F33" s="2">
        <v>10.989610548143199</v>
      </c>
      <c r="G33" s="2">
        <v>77</v>
      </c>
      <c r="H33" s="2">
        <v>3000</v>
      </c>
      <c r="I33" s="2" t="s">
        <v>180</v>
      </c>
      <c r="J33" s="2" t="s">
        <v>181</v>
      </c>
      <c r="K33" s="2" t="s">
        <v>68</v>
      </c>
      <c r="N33" s="2">
        <f>VLOOKUP(D33,Sheet2!$A$1:$H$42,8, FALSE)</f>
        <v>6.09</v>
      </c>
      <c r="O33" s="2">
        <v>6.09</v>
      </c>
    </row>
    <row r="34" spans="1:15" x14ac:dyDescent="0.25">
      <c r="A34" s="2" t="s">
        <v>238</v>
      </c>
      <c r="B34" s="2" t="s">
        <v>7</v>
      </c>
      <c r="C34" s="2" t="s">
        <v>109</v>
      </c>
      <c r="D34" s="2" t="s">
        <v>110</v>
      </c>
      <c r="E34" s="2" t="s">
        <v>111</v>
      </c>
      <c r="F34" s="2">
        <v>15.650724991508101</v>
      </c>
      <c r="G34" s="2">
        <v>69</v>
      </c>
      <c r="H34" s="2">
        <v>3000</v>
      </c>
      <c r="I34" s="2" t="s">
        <v>180</v>
      </c>
      <c r="J34" s="2" t="s">
        <v>68</v>
      </c>
      <c r="K34" s="2" t="s">
        <v>181</v>
      </c>
      <c r="N34" s="2">
        <f>VLOOKUP(D34,Sheet2!$A$1:$H$42,8, FALSE)</f>
        <v>19.02</v>
      </c>
      <c r="O34" s="2">
        <v>19.02</v>
      </c>
    </row>
    <row r="35" spans="1:15" x14ac:dyDescent="0.25">
      <c r="A35" s="2" t="s">
        <v>239</v>
      </c>
      <c r="B35" s="2" t="s">
        <v>5</v>
      </c>
      <c r="C35" s="2" t="s">
        <v>58</v>
      </c>
      <c r="D35" s="2" t="s">
        <v>64</v>
      </c>
      <c r="E35" s="2" t="s">
        <v>59</v>
      </c>
      <c r="F35" s="2">
        <v>10.488607285897899</v>
      </c>
      <c r="G35" s="2">
        <v>79</v>
      </c>
      <c r="H35" s="2">
        <v>2900</v>
      </c>
      <c r="I35" s="2" t="s">
        <v>178</v>
      </c>
      <c r="J35" s="2" t="s">
        <v>43</v>
      </c>
      <c r="K35" s="2" t="s">
        <v>114</v>
      </c>
      <c r="N35" s="2" t="e">
        <f>VLOOKUP(D35,Sheet2!$A$1:$H$42,8, FALSE)</f>
        <v>#N/A</v>
      </c>
      <c r="O35" s="2">
        <v>0</v>
      </c>
    </row>
    <row r="36" spans="1:15" x14ac:dyDescent="0.25">
      <c r="A36" s="2" t="s">
        <v>240</v>
      </c>
      <c r="B36" s="2" t="s">
        <v>3</v>
      </c>
      <c r="C36" s="2" t="s">
        <v>90</v>
      </c>
      <c r="D36" s="2" t="s">
        <v>91</v>
      </c>
      <c r="E36" s="2" t="s">
        <v>92</v>
      </c>
      <c r="F36" s="2">
        <v>6.37894720780222</v>
      </c>
      <c r="G36" s="2">
        <v>38</v>
      </c>
      <c r="H36" s="2">
        <v>2600</v>
      </c>
      <c r="I36" s="2" t="s">
        <v>180</v>
      </c>
      <c r="J36" s="2" t="s">
        <v>68</v>
      </c>
      <c r="K36" s="2" t="s">
        <v>181</v>
      </c>
      <c r="N36" s="2">
        <f>VLOOKUP(D36,Sheet2!$A$1:$H$42,8, FALSE)</f>
        <v>10.029999999999999</v>
      </c>
      <c r="O36" s="2">
        <v>10.029999999999999</v>
      </c>
    </row>
    <row r="37" spans="1:15" x14ac:dyDescent="0.25">
      <c r="A37" s="2" t="s">
        <v>241</v>
      </c>
      <c r="B37" s="2" t="s">
        <v>4</v>
      </c>
      <c r="C37" s="2" t="s">
        <v>132</v>
      </c>
      <c r="D37" s="2" t="s">
        <v>133</v>
      </c>
      <c r="E37" s="2" t="s">
        <v>134</v>
      </c>
      <c r="F37" s="2">
        <v>16.477499389648401</v>
      </c>
      <c r="G37" s="2">
        <v>80</v>
      </c>
      <c r="H37" s="2">
        <v>2500</v>
      </c>
      <c r="I37" s="2" t="s">
        <v>178</v>
      </c>
      <c r="J37" s="2" t="s">
        <v>114</v>
      </c>
      <c r="K37" s="2" t="s">
        <v>43</v>
      </c>
      <c r="N37" s="2">
        <f>VLOOKUP(D37,Sheet2!$A$1:$H$42,8, FALSE)</f>
        <v>6.8</v>
      </c>
      <c r="O37" s="2">
        <v>6.8</v>
      </c>
    </row>
    <row r="38" spans="1:15" x14ac:dyDescent="0.25">
      <c r="A38" s="2" t="s">
        <v>242</v>
      </c>
      <c r="B38" s="2" t="s">
        <v>5</v>
      </c>
      <c r="C38" s="2" t="s">
        <v>51</v>
      </c>
      <c r="D38" s="2" t="s">
        <v>94</v>
      </c>
      <c r="E38" s="2" t="s">
        <v>93</v>
      </c>
      <c r="F38" s="2">
        <v>10.3763885498046</v>
      </c>
      <c r="G38" s="2">
        <v>72</v>
      </c>
      <c r="H38" s="2">
        <v>2500</v>
      </c>
      <c r="I38" s="2" t="s">
        <v>180</v>
      </c>
      <c r="J38" s="2" t="s">
        <v>68</v>
      </c>
      <c r="K38" s="2" t="s">
        <v>181</v>
      </c>
      <c r="N38" s="2">
        <f>VLOOKUP(D38,Sheet2!$A$1:$H$42,8, FALSE)</f>
        <v>6.32</v>
      </c>
      <c r="O38" s="2">
        <v>6.32</v>
      </c>
    </row>
    <row r="39" spans="1:15" x14ac:dyDescent="0.25">
      <c r="A39" s="2" t="s">
        <v>243</v>
      </c>
      <c r="B39" s="2" t="s">
        <v>3</v>
      </c>
      <c r="C39" s="2" t="s">
        <v>244</v>
      </c>
      <c r="D39" s="2" t="s">
        <v>168</v>
      </c>
      <c r="E39" s="2" t="s">
        <v>47</v>
      </c>
      <c r="F39" s="2">
        <v>21.209375381469702</v>
      </c>
      <c r="G39" s="2">
        <v>64</v>
      </c>
      <c r="H39" s="2">
        <v>2500</v>
      </c>
      <c r="I39" s="2" t="s">
        <v>178</v>
      </c>
      <c r="J39" s="2" t="s">
        <v>43</v>
      </c>
      <c r="K39" s="2" t="s">
        <v>114</v>
      </c>
      <c r="N39" s="2">
        <f>VLOOKUP(D39,Sheet2!$A$1:$H$42,8, FALSE)</f>
        <v>9.1199999999999992</v>
      </c>
      <c r="O39" s="2">
        <v>9.1199999999999992</v>
      </c>
    </row>
    <row r="40" spans="1:15" x14ac:dyDescent="0.25">
      <c r="A40" s="2" t="s">
        <v>245</v>
      </c>
      <c r="B40" s="2" t="s">
        <v>3</v>
      </c>
      <c r="C40" s="2" t="s">
        <v>96</v>
      </c>
      <c r="D40" s="2" t="s">
        <v>135</v>
      </c>
      <c r="E40" s="2" t="s">
        <v>136</v>
      </c>
      <c r="F40" s="2">
        <v>12.7824327623521</v>
      </c>
      <c r="G40" s="2">
        <v>74</v>
      </c>
      <c r="H40" s="2">
        <v>2300</v>
      </c>
      <c r="I40" s="2" t="s">
        <v>178</v>
      </c>
      <c r="J40" s="2" t="s">
        <v>114</v>
      </c>
      <c r="K40" s="2" t="s">
        <v>43</v>
      </c>
      <c r="N40" s="2">
        <f>VLOOKUP(D40,Sheet2!$A$1:$H$42,8, FALSE)</f>
        <v>5.77</v>
      </c>
      <c r="O40" s="2">
        <v>5.77</v>
      </c>
    </row>
    <row r="41" spans="1:15" x14ac:dyDescent="0.25">
      <c r="A41" s="2" t="s">
        <v>246</v>
      </c>
      <c r="B41" s="2" t="s">
        <v>5</v>
      </c>
      <c r="C41" s="2" t="s">
        <v>138</v>
      </c>
      <c r="D41" s="2" t="s">
        <v>139</v>
      </c>
      <c r="E41" s="2" t="s">
        <v>140</v>
      </c>
      <c r="F41" s="2">
        <v>11.705128205128201</v>
      </c>
      <c r="G41" s="2">
        <v>78</v>
      </c>
      <c r="H41" s="2">
        <v>2100</v>
      </c>
      <c r="I41" s="2" t="s">
        <v>178</v>
      </c>
      <c r="J41" s="2" t="s">
        <v>114</v>
      </c>
      <c r="K41" s="2" t="s">
        <v>43</v>
      </c>
      <c r="N41" s="2">
        <f>VLOOKUP(D41,Sheet2!$A$1:$H$42,8, FALSE)</f>
        <v>13.08</v>
      </c>
      <c r="O41" s="2">
        <v>13.08</v>
      </c>
    </row>
    <row r="42" spans="1:15" x14ac:dyDescent="0.25">
      <c r="A42" s="2" t="s">
        <v>247</v>
      </c>
      <c r="B42" s="2" t="s">
        <v>7</v>
      </c>
      <c r="C42" s="2" t="s">
        <v>141</v>
      </c>
      <c r="D42" s="2" t="s">
        <v>142</v>
      </c>
      <c r="E42" s="2" t="s">
        <v>82</v>
      </c>
      <c r="F42" s="2">
        <v>8.9212763360206093</v>
      </c>
      <c r="G42" s="2">
        <v>47</v>
      </c>
      <c r="H42" s="2">
        <v>2100</v>
      </c>
      <c r="I42" s="2" t="s">
        <v>178</v>
      </c>
      <c r="J42" s="2" t="s">
        <v>114</v>
      </c>
      <c r="K42" s="2" t="s">
        <v>43</v>
      </c>
      <c r="N42" s="2">
        <f>VLOOKUP(D42,Sheet2!$A$1:$H$42,8, FALSE)</f>
        <v>4.6900000000000004</v>
      </c>
      <c r="O42" s="2">
        <v>4.6900000000000004</v>
      </c>
    </row>
    <row r="43" spans="1:15" x14ac:dyDescent="0.25">
      <c r="A43" s="2" t="s">
        <v>248</v>
      </c>
      <c r="B43" s="2" t="s">
        <v>6</v>
      </c>
      <c r="C43" s="2" t="s">
        <v>79</v>
      </c>
      <c r="D43" s="2" t="s">
        <v>80</v>
      </c>
      <c r="E43" s="2" t="s">
        <v>81</v>
      </c>
      <c r="F43" s="2">
        <v>15.5684204101562</v>
      </c>
      <c r="G43" s="2">
        <v>76</v>
      </c>
      <c r="H43" s="2">
        <v>2000</v>
      </c>
      <c r="I43" s="2" t="s">
        <v>180</v>
      </c>
      <c r="J43" s="2" t="s">
        <v>68</v>
      </c>
      <c r="K43" s="2" t="s">
        <v>181</v>
      </c>
      <c r="N43" s="2">
        <f>VLOOKUP(D43,Sheet2!$A$1:$H$42,8, FALSE)</f>
        <v>5.49</v>
      </c>
      <c r="O43" s="2">
        <v>5.49</v>
      </c>
    </row>
    <row r="44" spans="1:15" x14ac:dyDescent="0.25">
      <c r="A44" s="2" t="s">
        <v>249</v>
      </c>
      <c r="B44" s="2" t="s">
        <v>4</v>
      </c>
      <c r="C44" s="2" t="s">
        <v>250</v>
      </c>
      <c r="D44" s="2" t="s">
        <v>251</v>
      </c>
      <c r="E44" s="2" t="s">
        <v>252</v>
      </c>
      <c r="F44" s="2">
        <v>6.8884617732121303</v>
      </c>
      <c r="G44" s="2">
        <v>52</v>
      </c>
      <c r="H44" s="2">
        <v>1900</v>
      </c>
      <c r="I44" s="2" t="s">
        <v>180</v>
      </c>
      <c r="J44" s="2" t="s">
        <v>181</v>
      </c>
      <c r="K44" s="2" t="s">
        <v>68</v>
      </c>
      <c r="N44" s="2" t="e">
        <f>VLOOKUP(D44,Sheet2!$A$1:$H$42,8, FALSE)</f>
        <v>#N/A</v>
      </c>
      <c r="O44" s="2">
        <v>0</v>
      </c>
    </row>
    <row r="45" spans="1:15" x14ac:dyDescent="0.25">
      <c r="A45" s="2" t="s">
        <v>253</v>
      </c>
      <c r="B45" s="2" t="s">
        <v>4</v>
      </c>
      <c r="C45" s="2" t="s">
        <v>254</v>
      </c>
      <c r="D45" s="2" t="s">
        <v>255</v>
      </c>
      <c r="E45" s="2" t="s">
        <v>47</v>
      </c>
      <c r="F45" s="2">
        <v>10.32</v>
      </c>
      <c r="G45" s="2">
        <v>50</v>
      </c>
      <c r="H45" s="2">
        <v>1800</v>
      </c>
      <c r="I45" s="2" t="s">
        <v>178</v>
      </c>
      <c r="J45" s="2" t="s">
        <v>43</v>
      </c>
      <c r="K45" s="2" t="s">
        <v>114</v>
      </c>
      <c r="N45" s="2" t="e">
        <f>VLOOKUP(D45,Sheet2!$A$1:$H$42,8, FALSE)</f>
        <v>#N/A</v>
      </c>
      <c r="O45" s="2">
        <v>0</v>
      </c>
    </row>
    <row r="46" spans="1:15" x14ac:dyDescent="0.25">
      <c r="A46" s="2" t="s">
        <v>256</v>
      </c>
      <c r="B46" s="2" t="s">
        <v>5</v>
      </c>
      <c r="C46" s="2" t="s">
        <v>42</v>
      </c>
      <c r="D46" s="2" t="s">
        <v>143</v>
      </c>
      <c r="E46" s="2" t="s">
        <v>57</v>
      </c>
      <c r="F46" s="2">
        <v>4.3172412740773103</v>
      </c>
      <c r="G46" s="2">
        <v>29</v>
      </c>
      <c r="H46" s="2">
        <v>1700</v>
      </c>
      <c r="I46" s="2" t="s">
        <v>178</v>
      </c>
      <c r="J46" s="2" t="s">
        <v>114</v>
      </c>
      <c r="K46" s="2" t="s">
        <v>43</v>
      </c>
      <c r="N46" s="2" t="e">
        <f>VLOOKUP(D46,Sheet2!$A$1:$H$42,8, FALSE)</f>
        <v>#N/A</v>
      </c>
      <c r="O46" s="2">
        <v>0</v>
      </c>
    </row>
    <row r="47" spans="1:15" x14ac:dyDescent="0.25">
      <c r="A47" s="2" t="s">
        <v>257</v>
      </c>
      <c r="B47" s="2" t="s">
        <v>6</v>
      </c>
      <c r="C47" s="2" t="s">
        <v>93</v>
      </c>
      <c r="D47" s="2" t="s">
        <v>258</v>
      </c>
      <c r="E47" s="2" t="s">
        <v>259</v>
      </c>
      <c r="F47" s="2">
        <v>4.9571429661342004</v>
      </c>
      <c r="G47" s="2">
        <v>14</v>
      </c>
      <c r="H47" s="2">
        <v>1500</v>
      </c>
      <c r="I47" s="2" t="s">
        <v>180</v>
      </c>
      <c r="J47" s="2" t="s">
        <v>181</v>
      </c>
      <c r="K47" s="2" t="s">
        <v>68</v>
      </c>
      <c r="N47" s="2" t="e">
        <f>VLOOKUP(D47,Sheet2!$A$1:$H$42,8, FALSE)</f>
        <v>#N/A</v>
      </c>
      <c r="O47" s="2">
        <v>0</v>
      </c>
    </row>
    <row r="48" spans="1:15" x14ac:dyDescent="0.25">
      <c r="A48" s="2" t="s">
        <v>260</v>
      </c>
      <c r="B48" s="2" t="s">
        <v>6</v>
      </c>
      <c r="C48" s="2" t="s">
        <v>261</v>
      </c>
      <c r="D48" s="2" t="s">
        <v>262</v>
      </c>
      <c r="E48" s="2" t="s">
        <v>263</v>
      </c>
      <c r="F48" s="2">
        <v>16.350000381469702</v>
      </c>
      <c r="G48" s="2">
        <v>2</v>
      </c>
      <c r="H48" s="2">
        <v>1500</v>
      </c>
      <c r="I48" s="2" t="s">
        <v>178</v>
      </c>
      <c r="J48" s="2" t="s">
        <v>43</v>
      </c>
      <c r="K48" s="2" t="s">
        <v>114</v>
      </c>
      <c r="L48" s="2" t="s">
        <v>45</v>
      </c>
      <c r="M48" s="2" t="s">
        <v>264</v>
      </c>
      <c r="N48" s="2" t="e">
        <f>VLOOKUP(D48,Sheet2!$A$1:$H$42,8, FALSE)</f>
        <v>#N/A</v>
      </c>
      <c r="O48" s="2">
        <v>0</v>
      </c>
    </row>
    <row r="49" spans="1:15" x14ac:dyDescent="0.25">
      <c r="A49" s="2" t="s">
        <v>265</v>
      </c>
      <c r="B49" s="2" t="s">
        <v>3</v>
      </c>
      <c r="C49" s="2" t="s">
        <v>266</v>
      </c>
      <c r="D49" s="2" t="s">
        <v>163</v>
      </c>
      <c r="E49" s="2" t="s">
        <v>267</v>
      </c>
      <c r="F49" s="2">
        <v>10.956579107987199</v>
      </c>
      <c r="G49" s="2">
        <v>76</v>
      </c>
      <c r="H49" s="2">
        <v>1500</v>
      </c>
      <c r="I49" s="2" t="s">
        <v>180</v>
      </c>
      <c r="J49" s="2" t="s">
        <v>181</v>
      </c>
      <c r="K49" s="2" t="s">
        <v>68</v>
      </c>
      <c r="N49" s="2">
        <f>VLOOKUP(D49,Sheet2!$A$1:$H$42,8, FALSE)</f>
        <v>10.06</v>
      </c>
      <c r="O49" s="2">
        <v>10.06</v>
      </c>
    </row>
    <row r="50" spans="1:15" x14ac:dyDescent="0.25">
      <c r="A50" s="2" t="s">
        <v>268</v>
      </c>
      <c r="B50" s="2" t="s">
        <v>3</v>
      </c>
      <c r="C50" s="2" t="s">
        <v>144</v>
      </c>
      <c r="D50" s="2" t="s">
        <v>145</v>
      </c>
      <c r="E50" s="2" t="s">
        <v>146</v>
      </c>
      <c r="F50" s="2">
        <v>3.8599998474120998</v>
      </c>
      <c r="G50" s="2">
        <v>5</v>
      </c>
      <c r="H50" s="2">
        <v>1500</v>
      </c>
      <c r="I50" s="2" t="s">
        <v>178</v>
      </c>
      <c r="J50" s="2" t="s">
        <v>114</v>
      </c>
      <c r="K50" s="2" t="s">
        <v>43</v>
      </c>
      <c r="N50" s="2" t="e">
        <f>VLOOKUP(D50,Sheet2!$A$1:$H$42,8, FALSE)</f>
        <v>#N/A</v>
      </c>
      <c r="O50" s="2">
        <v>0</v>
      </c>
    </row>
    <row r="51" spans="1:15" x14ac:dyDescent="0.25">
      <c r="A51" s="2" t="s">
        <v>269</v>
      </c>
      <c r="B51" s="2" t="s">
        <v>3</v>
      </c>
      <c r="C51" s="2" t="s">
        <v>102</v>
      </c>
      <c r="D51" s="2" t="s">
        <v>107</v>
      </c>
      <c r="E51" s="2" t="s">
        <v>108</v>
      </c>
      <c r="F51" s="2">
        <v>5.7777777777777697</v>
      </c>
      <c r="G51" s="2">
        <v>18</v>
      </c>
      <c r="H51" s="2">
        <v>1500</v>
      </c>
      <c r="I51" s="2" t="s">
        <v>180</v>
      </c>
      <c r="J51" s="2" t="s">
        <v>68</v>
      </c>
      <c r="K51" s="2" t="s">
        <v>181</v>
      </c>
      <c r="N51" s="2" t="e">
        <f>VLOOKUP(D51,Sheet2!$A$1:$H$42,8, FALSE)</f>
        <v>#N/A</v>
      </c>
      <c r="O51" s="2">
        <v>0</v>
      </c>
    </row>
    <row r="52" spans="1:15" x14ac:dyDescent="0.25">
      <c r="A52" s="2" t="s">
        <v>270</v>
      </c>
      <c r="B52" s="2" t="s">
        <v>5</v>
      </c>
      <c r="C52" s="2" t="s">
        <v>271</v>
      </c>
      <c r="D52" s="2" t="s">
        <v>160</v>
      </c>
      <c r="E52" s="2" t="s">
        <v>272</v>
      </c>
      <c r="F52" s="2">
        <v>17.8554060652449</v>
      </c>
      <c r="G52" s="2">
        <v>74</v>
      </c>
      <c r="H52" s="2">
        <v>1500</v>
      </c>
      <c r="I52" s="2" t="s">
        <v>180</v>
      </c>
      <c r="J52" s="2" t="s">
        <v>181</v>
      </c>
      <c r="K52" s="2" t="s">
        <v>68</v>
      </c>
      <c r="N52" s="2">
        <f>VLOOKUP(D52,Sheet2!$A$1:$H$42,8, FALSE)</f>
        <v>6.42</v>
      </c>
      <c r="O52" s="2">
        <v>6.42</v>
      </c>
    </row>
    <row r="53" spans="1:15" x14ac:dyDescent="0.25">
      <c r="A53" s="2" t="s">
        <v>273</v>
      </c>
      <c r="B53" s="2" t="s">
        <v>7</v>
      </c>
      <c r="C53" s="2" t="s">
        <v>42</v>
      </c>
      <c r="D53" s="2" t="s">
        <v>274</v>
      </c>
      <c r="E53" s="2" t="s">
        <v>54</v>
      </c>
      <c r="F53" s="2">
        <v>4.5708332061767498</v>
      </c>
      <c r="G53" s="2">
        <v>48</v>
      </c>
      <c r="H53" s="2">
        <v>1500</v>
      </c>
      <c r="I53" s="2" t="s">
        <v>178</v>
      </c>
      <c r="J53" s="2" t="s">
        <v>43</v>
      </c>
      <c r="K53" s="2" t="s">
        <v>114</v>
      </c>
      <c r="N53" s="2" t="e">
        <f>VLOOKUP(D53,Sheet2!$A$1:$H$42,8, FALSE)</f>
        <v>#N/A</v>
      </c>
      <c r="O53" s="2">
        <v>0</v>
      </c>
    </row>
    <row r="54" spans="1:15" x14ac:dyDescent="0.25">
      <c r="A54" s="2" t="s">
        <v>275</v>
      </c>
      <c r="B54" s="2" t="s">
        <v>4</v>
      </c>
      <c r="C54" s="2" t="s">
        <v>276</v>
      </c>
      <c r="D54" s="2" t="s">
        <v>277</v>
      </c>
      <c r="E54" s="2" t="s">
        <v>278</v>
      </c>
      <c r="F54" s="2">
        <v>7.0622639206220503</v>
      </c>
      <c r="G54" s="2">
        <v>53</v>
      </c>
      <c r="H54" s="2">
        <v>1500</v>
      </c>
      <c r="I54" s="2" t="s">
        <v>180</v>
      </c>
      <c r="J54" s="2" t="s">
        <v>181</v>
      </c>
      <c r="K54" s="2" t="s">
        <v>68</v>
      </c>
      <c r="L54" s="2" t="s">
        <v>182</v>
      </c>
      <c r="M54" s="2" t="s">
        <v>279</v>
      </c>
      <c r="N54" s="2" t="e">
        <f>VLOOKUP(D54,Sheet2!$A$1:$H$42,8, FALSE)</f>
        <v>#N/A</v>
      </c>
      <c r="O54" s="2">
        <v>0</v>
      </c>
    </row>
    <row r="55" spans="1:15" x14ac:dyDescent="0.25">
      <c r="A55" s="2" t="s">
        <v>280</v>
      </c>
      <c r="B55" s="2" t="s">
        <v>6</v>
      </c>
      <c r="C55" s="2" t="s">
        <v>147</v>
      </c>
      <c r="D55" s="2" t="s">
        <v>148</v>
      </c>
      <c r="E55" s="2" t="s">
        <v>149</v>
      </c>
      <c r="F55" s="2">
        <v>8.3490193684895804</v>
      </c>
      <c r="G55" s="2">
        <v>51</v>
      </c>
      <c r="H55" s="2">
        <v>1500</v>
      </c>
      <c r="I55" s="2" t="s">
        <v>178</v>
      </c>
      <c r="J55" s="2" t="s">
        <v>114</v>
      </c>
      <c r="K55" s="2" t="s">
        <v>43</v>
      </c>
      <c r="N55" s="2" t="e">
        <f>VLOOKUP(D55,Sheet2!$A$1:$H$42,8, FALSE)</f>
        <v>#N/A</v>
      </c>
      <c r="O55" s="2">
        <v>0</v>
      </c>
    </row>
    <row r="56" spans="1:15" x14ac:dyDescent="0.25">
      <c r="A56" s="2" t="s">
        <v>281</v>
      </c>
      <c r="B56" s="2" t="s">
        <v>7</v>
      </c>
      <c r="C56" s="2" t="s">
        <v>55</v>
      </c>
      <c r="D56" s="2" t="s">
        <v>103</v>
      </c>
      <c r="E56" s="2" t="s">
        <v>56</v>
      </c>
      <c r="F56" s="2">
        <v>6.8297296472497804</v>
      </c>
      <c r="G56" s="2">
        <v>37</v>
      </c>
      <c r="H56" s="2">
        <v>1500</v>
      </c>
      <c r="I56" s="2" t="s">
        <v>178</v>
      </c>
      <c r="J56" s="2" t="s">
        <v>43</v>
      </c>
      <c r="K56" s="2" t="s">
        <v>114</v>
      </c>
      <c r="N56" s="2" t="e">
        <f>VLOOKUP(D56,Sheet2!$A$1:$H$42,8, FALSE)</f>
        <v>#N/A</v>
      </c>
      <c r="O56" s="2">
        <v>0</v>
      </c>
    </row>
    <row r="57" spans="1:15" x14ac:dyDescent="0.25">
      <c r="A57" s="2" t="s">
        <v>282</v>
      </c>
      <c r="B57" s="2" t="s">
        <v>4</v>
      </c>
      <c r="C57" s="2" t="s">
        <v>55</v>
      </c>
      <c r="D57" s="2" t="s">
        <v>150</v>
      </c>
      <c r="E57" s="2" t="s">
        <v>151</v>
      </c>
      <c r="F57" s="2">
        <v>3.9320001220703098</v>
      </c>
      <c r="G57" s="2">
        <v>25</v>
      </c>
      <c r="H57" s="2">
        <v>1500</v>
      </c>
      <c r="I57" s="2" t="s">
        <v>178</v>
      </c>
      <c r="J57" s="2" t="s">
        <v>114</v>
      </c>
      <c r="K57" s="2" t="s">
        <v>43</v>
      </c>
      <c r="N57" s="2" t="e">
        <f>VLOOKUP(D57,Sheet2!$A$1:$H$42,8, FALSE)</f>
        <v>#N/A</v>
      </c>
      <c r="O57" s="2">
        <v>0</v>
      </c>
    </row>
    <row r="58" spans="1:15" x14ac:dyDescent="0.25">
      <c r="A58" s="2" t="s">
        <v>283</v>
      </c>
      <c r="B58" s="2" t="s">
        <v>4</v>
      </c>
      <c r="C58" s="2" t="s">
        <v>60</v>
      </c>
      <c r="D58" s="2" t="s">
        <v>152</v>
      </c>
      <c r="E58" s="2" t="s">
        <v>153</v>
      </c>
      <c r="F58" s="2">
        <v>9.9602567232572099</v>
      </c>
      <c r="G58" s="2">
        <v>78</v>
      </c>
      <c r="H58" s="2">
        <v>1500</v>
      </c>
      <c r="I58" s="2" t="s">
        <v>178</v>
      </c>
      <c r="J58" s="2" t="s">
        <v>114</v>
      </c>
      <c r="K58" s="2" t="s">
        <v>43</v>
      </c>
      <c r="N58" s="2" t="e">
        <f>VLOOKUP(D58,Sheet2!$A$1:$H$42,8, FALSE)</f>
        <v>#N/A</v>
      </c>
      <c r="O58" s="2">
        <v>0</v>
      </c>
    </row>
    <row r="59" spans="1:15" x14ac:dyDescent="0.25">
      <c r="A59" s="2" t="s">
        <v>284</v>
      </c>
      <c r="B59" s="2" t="s">
        <v>7</v>
      </c>
      <c r="C59" s="2" t="s">
        <v>99</v>
      </c>
      <c r="D59" s="2" t="s">
        <v>100</v>
      </c>
      <c r="E59" s="2" t="s">
        <v>101</v>
      </c>
      <c r="F59" s="2">
        <v>4.1277779473198697</v>
      </c>
      <c r="G59" s="2">
        <v>36</v>
      </c>
      <c r="H59" s="2">
        <v>1500</v>
      </c>
      <c r="I59" s="2" t="s">
        <v>180</v>
      </c>
      <c r="J59" s="2" t="s">
        <v>68</v>
      </c>
      <c r="K59" s="2" t="s">
        <v>181</v>
      </c>
      <c r="N59" s="2" t="e">
        <f>VLOOKUP(D59,Sheet2!$A$1:$H$42,8, FALSE)</f>
        <v>#N/A</v>
      </c>
      <c r="O59" s="2">
        <v>0</v>
      </c>
    </row>
    <row r="60" spans="1:15" x14ac:dyDescent="0.25">
      <c r="A60" s="2" t="s">
        <v>285</v>
      </c>
      <c r="B60" s="2" t="s">
        <v>6</v>
      </c>
      <c r="C60" s="2" t="s">
        <v>286</v>
      </c>
      <c r="D60" s="2" t="s">
        <v>287</v>
      </c>
      <c r="E60" s="2" t="s">
        <v>54</v>
      </c>
      <c r="F60" s="2">
        <v>5.0599998474121097</v>
      </c>
      <c r="G60" s="2">
        <v>10</v>
      </c>
      <c r="H60" s="2">
        <v>1500</v>
      </c>
      <c r="I60" s="2" t="s">
        <v>180</v>
      </c>
      <c r="J60" s="2" t="s">
        <v>181</v>
      </c>
      <c r="K60" s="2" t="s">
        <v>68</v>
      </c>
      <c r="N60" s="2" t="e">
        <f>VLOOKUP(D60,Sheet2!$A$1:$H$42,8, FALSE)</f>
        <v>#N/A</v>
      </c>
      <c r="O60" s="2">
        <v>0</v>
      </c>
    </row>
    <row r="61" spans="1:15" x14ac:dyDescent="0.25">
      <c r="A61" s="2" t="s">
        <v>288</v>
      </c>
      <c r="B61" s="2" t="s">
        <v>7</v>
      </c>
      <c r="C61" s="2" t="s">
        <v>112</v>
      </c>
      <c r="D61" s="2" t="s">
        <v>113</v>
      </c>
      <c r="E61" s="2" t="s">
        <v>54</v>
      </c>
      <c r="F61" s="2">
        <v>11.899999618530201</v>
      </c>
      <c r="G61" s="2">
        <v>1</v>
      </c>
      <c r="H61" s="2">
        <v>1400</v>
      </c>
      <c r="I61" s="2" t="s">
        <v>178</v>
      </c>
      <c r="J61" s="2" t="s">
        <v>43</v>
      </c>
      <c r="K61" s="2" t="s">
        <v>114</v>
      </c>
      <c r="N61" s="2" t="e">
        <f>VLOOKUP(D61,Sheet2!$A$1:$H$42,8, FALSE)</f>
        <v>#N/A</v>
      </c>
      <c r="O61" s="2">
        <v>0</v>
      </c>
    </row>
    <row r="62" spans="1:15" x14ac:dyDescent="0.25">
      <c r="A62" s="2" t="s">
        <v>289</v>
      </c>
      <c r="B62" s="2" t="s">
        <v>5</v>
      </c>
      <c r="C62" s="2" t="s">
        <v>67</v>
      </c>
      <c r="D62" s="2" t="s">
        <v>97</v>
      </c>
      <c r="E62" s="2" t="s">
        <v>98</v>
      </c>
      <c r="F62" s="2">
        <v>8.2626862027751802</v>
      </c>
      <c r="G62" s="2">
        <v>67</v>
      </c>
      <c r="H62" s="2">
        <v>1300</v>
      </c>
      <c r="I62" s="2" t="s">
        <v>180</v>
      </c>
      <c r="J62" s="2" t="s">
        <v>68</v>
      </c>
      <c r="K62" s="2" t="s">
        <v>181</v>
      </c>
      <c r="N62" s="2" t="e">
        <f>VLOOKUP(D62,Sheet2!$A$1:$H$42,8, FALSE)</f>
        <v>#N/A</v>
      </c>
      <c r="O62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opLeftCell="A6" workbookViewId="0">
      <selection activeCell="F15" sqref="F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5.5703125" customWidth="1"/>
    <col min="9" max="9" width="28.57031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21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23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10</v>
      </c>
      <c r="C15" s="15"/>
      <c r="D15" s="38">
        <f>'DraftKings Basketball  Solver'!O11</f>
        <v>293.69</v>
      </c>
      <c r="E15" s="36"/>
      <c r="F15" s="41" t="str">
        <f>'DraftKings Basketball  Solver'!O17</f>
        <v>Stephen Curry</v>
      </c>
      <c r="G15" s="40" t="str">
        <f>'DraftKings Basketball  Solver'!O18</f>
        <v>Isaiah Thomas</v>
      </c>
      <c r="H15" s="41" t="str">
        <f>'DraftKings Basketball  Solver'!O19</f>
        <v>Marcus Smart</v>
      </c>
      <c r="I15" s="40" t="str">
        <f>'DraftKings Basketball  Solver'!O20</f>
        <v>Manu Ginobili</v>
      </c>
      <c r="J15" s="41" t="str">
        <f>'DraftKings Basketball  Solver'!O25</f>
        <v>Tristan Thompson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11</v>
      </c>
      <c r="C16" s="15"/>
      <c r="D16" s="39">
        <f>'DraftKings Basketball  Solver'!O8</f>
        <v>60000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Solver'!O21</f>
        <v>Kevin Durant</v>
      </c>
      <c r="G17" s="41" t="str">
        <f>'DraftKings Basketball  Solver'!O22</f>
        <v>Jaylen Brown</v>
      </c>
      <c r="H17" s="40" t="str">
        <f>'DraftKings Basketball  Solver'!O23</f>
        <v>LaMarcus Aldridge</v>
      </c>
      <c r="I17" s="41" t="str">
        <f>'DraftKings Basketball  Solver'!O24</f>
        <v>Kevin Love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topLeftCell="A24" workbookViewId="0">
      <selection activeCell="H1" sqref="H1"/>
    </sheetView>
  </sheetViews>
  <sheetFormatPr defaultRowHeight="15" x14ac:dyDescent="0.25"/>
  <cols>
    <col min="1" max="1" width="18" style="2" bestFit="1" customWidth="1"/>
    <col min="2" max="16384" width="9.140625" style="2"/>
  </cols>
  <sheetData>
    <row r="1" spans="1:8" x14ac:dyDescent="0.25">
      <c r="A1" s="2" t="s">
        <v>75</v>
      </c>
      <c r="B1" s="2">
        <v>6100</v>
      </c>
      <c r="C1" s="2" t="s">
        <v>154</v>
      </c>
      <c r="D1" s="2" t="s">
        <v>6</v>
      </c>
      <c r="E1" s="2" t="s">
        <v>155</v>
      </c>
      <c r="F1" s="2">
        <v>26.9072</v>
      </c>
      <c r="G1" s="2">
        <v>13.252800000000001</v>
      </c>
      <c r="H1" s="2">
        <v>20.079999999999998</v>
      </c>
    </row>
    <row r="2" spans="1:8" x14ac:dyDescent="0.25">
      <c r="A2" s="2" t="s">
        <v>84</v>
      </c>
      <c r="B2" s="2">
        <v>4200</v>
      </c>
      <c r="C2" s="2" t="s">
        <v>154</v>
      </c>
      <c r="D2" s="2" t="s">
        <v>7</v>
      </c>
      <c r="E2" s="2" t="s">
        <v>155</v>
      </c>
      <c r="F2" s="2">
        <v>26.884799999999998</v>
      </c>
      <c r="G2" s="2">
        <v>10.4552</v>
      </c>
      <c r="H2" s="2">
        <v>18.670000000000002</v>
      </c>
    </row>
    <row r="3" spans="1:8" x14ac:dyDescent="0.25">
      <c r="A3" s="2" t="s">
        <v>156</v>
      </c>
      <c r="B3" s="2">
        <v>4000</v>
      </c>
      <c r="C3" s="2" t="s">
        <v>155</v>
      </c>
      <c r="D3" s="2" t="s">
        <v>6</v>
      </c>
      <c r="E3" s="2" t="s">
        <v>154</v>
      </c>
      <c r="F3" s="2">
        <v>25.732299999999999</v>
      </c>
      <c r="G3" s="2">
        <v>7.0476999999999999</v>
      </c>
      <c r="H3" s="2">
        <v>16.39</v>
      </c>
    </row>
    <row r="4" spans="1:8" x14ac:dyDescent="0.25">
      <c r="A4" s="2" t="s">
        <v>110</v>
      </c>
      <c r="B4" s="2">
        <v>3000</v>
      </c>
      <c r="C4" s="2" t="s">
        <v>154</v>
      </c>
      <c r="D4" s="2" t="s">
        <v>7</v>
      </c>
      <c r="E4" s="2" t="s">
        <v>155</v>
      </c>
      <c r="F4" s="2">
        <v>25.8672</v>
      </c>
      <c r="G4" s="2">
        <v>12.172800000000001</v>
      </c>
      <c r="H4" s="2">
        <v>19.02</v>
      </c>
    </row>
    <row r="5" spans="1:8" x14ac:dyDescent="0.25">
      <c r="A5" s="2" t="s">
        <v>157</v>
      </c>
      <c r="B5" s="2">
        <v>4700</v>
      </c>
      <c r="C5" s="2" t="s">
        <v>155</v>
      </c>
      <c r="D5" s="2" t="s">
        <v>5</v>
      </c>
      <c r="E5" s="2" t="s">
        <v>154</v>
      </c>
      <c r="F5" s="2">
        <v>27.872</v>
      </c>
      <c r="G5" s="2">
        <v>13.728</v>
      </c>
      <c r="H5" s="2">
        <v>20.8</v>
      </c>
    </row>
    <row r="6" spans="1:8" x14ac:dyDescent="0.25">
      <c r="A6" s="2" t="s">
        <v>86</v>
      </c>
      <c r="B6" s="2">
        <v>5200</v>
      </c>
      <c r="C6" s="2" t="s">
        <v>154</v>
      </c>
      <c r="D6" s="2" t="s">
        <v>3</v>
      </c>
      <c r="E6" s="2" t="s">
        <v>155</v>
      </c>
      <c r="F6" s="2">
        <v>33.558</v>
      </c>
      <c r="G6" s="2">
        <v>14.382</v>
      </c>
      <c r="H6" s="2">
        <v>23.97</v>
      </c>
    </row>
    <row r="7" spans="1:8" x14ac:dyDescent="0.25">
      <c r="A7" s="2" t="s">
        <v>158</v>
      </c>
      <c r="B7" s="2">
        <v>8600</v>
      </c>
      <c r="C7" s="2" t="s">
        <v>155</v>
      </c>
      <c r="D7" s="2" t="s">
        <v>4</v>
      </c>
      <c r="E7" s="2" t="s">
        <v>154</v>
      </c>
      <c r="F7" s="2">
        <v>52.339500000000001</v>
      </c>
      <c r="G7" s="2">
        <v>25.200500000000002</v>
      </c>
      <c r="H7" s="2">
        <v>38.770000000000003</v>
      </c>
    </row>
    <row r="8" spans="1:8" x14ac:dyDescent="0.25">
      <c r="A8" s="2" t="s">
        <v>65</v>
      </c>
      <c r="B8" s="2">
        <v>8000</v>
      </c>
      <c r="C8" s="2" t="s">
        <v>154</v>
      </c>
      <c r="D8" s="2" t="s">
        <v>4</v>
      </c>
      <c r="E8" s="2" t="s">
        <v>155</v>
      </c>
      <c r="F8" s="2">
        <v>46.604799999999997</v>
      </c>
      <c r="G8" s="2">
        <v>26.215199999999999</v>
      </c>
      <c r="H8" s="2">
        <v>36.409999999999997</v>
      </c>
    </row>
    <row r="9" spans="1:8" x14ac:dyDescent="0.25">
      <c r="A9" s="2" t="s">
        <v>159</v>
      </c>
      <c r="B9" s="2">
        <v>7100</v>
      </c>
      <c r="C9" s="2" t="s">
        <v>155</v>
      </c>
      <c r="D9" s="2" t="s">
        <v>7</v>
      </c>
      <c r="E9" s="2" t="s">
        <v>154</v>
      </c>
      <c r="F9" s="2">
        <v>38.715600000000002</v>
      </c>
      <c r="G9" s="2">
        <v>19.944400000000002</v>
      </c>
      <c r="H9" s="2">
        <v>29.33</v>
      </c>
    </row>
    <row r="10" spans="1:8" x14ac:dyDescent="0.25">
      <c r="A10" s="2" t="s">
        <v>105</v>
      </c>
      <c r="B10" s="2">
        <v>4300</v>
      </c>
      <c r="C10" s="2" t="s">
        <v>154</v>
      </c>
      <c r="D10" s="2" t="s">
        <v>5</v>
      </c>
      <c r="E10" s="2" t="s">
        <v>155</v>
      </c>
      <c r="F10" s="2">
        <v>24.221599999999999</v>
      </c>
      <c r="G10" s="2">
        <v>11.398400000000001</v>
      </c>
      <c r="H10" s="2">
        <v>17.809999999999999</v>
      </c>
    </row>
    <row r="11" spans="1:8" x14ac:dyDescent="0.25">
      <c r="A11" s="2" t="s">
        <v>94</v>
      </c>
      <c r="B11" s="2">
        <v>2500</v>
      </c>
      <c r="C11" s="2" t="s">
        <v>154</v>
      </c>
      <c r="D11" s="2" t="s">
        <v>5</v>
      </c>
      <c r="E11" s="2" t="s">
        <v>155</v>
      </c>
      <c r="F11" s="2">
        <v>8.7216000000000005</v>
      </c>
      <c r="G11" s="2">
        <v>3.9184000000000001</v>
      </c>
      <c r="H11" s="2">
        <v>6.32</v>
      </c>
    </row>
    <row r="12" spans="1:8" x14ac:dyDescent="0.25">
      <c r="A12" s="2" t="s">
        <v>160</v>
      </c>
      <c r="B12" s="2">
        <v>1500</v>
      </c>
      <c r="C12" s="2" t="s">
        <v>155</v>
      </c>
      <c r="D12" s="2" t="s">
        <v>5</v>
      </c>
      <c r="E12" s="2" t="s">
        <v>154</v>
      </c>
      <c r="F12" s="2">
        <v>9.3089999999999993</v>
      </c>
      <c r="G12" s="2">
        <v>3.5310000000000001</v>
      </c>
      <c r="H12" s="2">
        <v>6.42</v>
      </c>
    </row>
    <row r="13" spans="1:8" x14ac:dyDescent="0.25">
      <c r="A13" s="2" t="s">
        <v>161</v>
      </c>
      <c r="B13" s="2">
        <v>3000</v>
      </c>
      <c r="C13" s="2" t="s">
        <v>155</v>
      </c>
      <c r="D13" s="2" t="s">
        <v>7</v>
      </c>
      <c r="E13" s="2" t="s">
        <v>154</v>
      </c>
      <c r="F13" s="2">
        <v>9.1959</v>
      </c>
      <c r="G13" s="2">
        <v>2.9841000000000002</v>
      </c>
      <c r="H13" s="2">
        <v>6.09</v>
      </c>
    </row>
    <row r="14" spans="1:8" x14ac:dyDescent="0.25">
      <c r="A14" s="2" t="s">
        <v>66</v>
      </c>
      <c r="B14" s="2">
        <v>3000</v>
      </c>
      <c r="C14" s="2" t="s">
        <v>154</v>
      </c>
      <c r="D14" s="2" t="s">
        <v>4</v>
      </c>
      <c r="E14" s="2" t="s">
        <v>155</v>
      </c>
      <c r="F14" s="2">
        <v>7.6994999999999996</v>
      </c>
      <c r="G14" s="2">
        <v>2.9205000000000001</v>
      </c>
      <c r="H14" s="2">
        <v>5.31</v>
      </c>
    </row>
    <row r="15" spans="1:8" x14ac:dyDescent="0.25">
      <c r="A15" s="2" t="s">
        <v>80</v>
      </c>
      <c r="B15" s="2">
        <v>2000</v>
      </c>
      <c r="C15" s="2" t="s">
        <v>154</v>
      </c>
      <c r="D15" s="2" t="s">
        <v>6</v>
      </c>
      <c r="E15" s="2" t="s">
        <v>155</v>
      </c>
      <c r="F15" s="2">
        <v>7.6311</v>
      </c>
      <c r="G15" s="2">
        <v>3.3489</v>
      </c>
      <c r="H15" s="2">
        <v>5.49</v>
      </c>
    </row>
    <row r="16" spans="1:8" x14ac:dyDescent="0.25">
      <c r="A16" s="2" t="s">
        <v>162</v>
      </c>
      <c r="B16" s="2">
        <v>3500</v>
      </c>
      <c r="C16" s="2" t="s">
        <v>155</v>
      </c>
      <c r="D16" s="2" t="s">
        <v>7</v>
      </c>
      <c r="E16" s="2" t="s">
        <v>154</v>
      </c>
      <c r="F16" s="2">
        <v>9.9684000000000008</v>
      </c>
      <c r="G16" s="2">
        <v>4.0716000000000001</v>
      </c>
      <c r="H16" s="2">
        <v>7.02</v>
      </c>
    </row>
    <row r="17" spans="1:8" x14ac:dyDescent="0.25">
      <c r="A17" s="2" t="s">
        <v>163</v>
      </c>
      <c r="B17" s="2">
        <v>1500</v>
      </c>
      <c r="C17" s="2" t="s">
        <v>155</v>
      </c>
      <c r="D17" s="2" t="s">
        <v>3</v>
      </c>
      <c r="E17" s="2" t="s">
        <v>154</v>
      </c>
      <c r="F17" s="2">
        <v>13.7822</v>
      </c>
      <c r="G17" s="2">
        <v>6.3377999999999997</v>
      </c>
      <c r="H17" s="2">
        <v>10.06</v>
      </c>
    </row>
    <row r="18" spans="1:8" x14ac:dyDescent="0.25">
      <c r="A18" s="2" t="s">
        <v>164</v>
      </c>
      <c r="B18" s="2">
        <v>3200</v>
      </c>
      <c r="C18" s="2" t="s">
        <v>155</v>
      </c>
      <c r="D18" s="2" t="s">
        <v>4</v>
      </c>
      <c r="E18" s="2" t="s">
        <v>154</v>
      </c>
      <c r="F18" s="2">
        <v>17.125800000000002</v>
      </c>
      <c r="G18" s="2">
        <v>6.3342000000000001</v>
      </c>
      <c r="H18" s="2">
        <v>11.73</v>
      </c>
    </row>
    <row r="19" spans="1:8" x14ac:dyDescent="0.25">
      <c r="A19" s="2" t="s">
        <v>165</v>
      </c>
      <c r="B19" s="2">
        <v>4000</v>
      </c>
      <c r="C19" s="2" t="s">
        <v>155</v>
      </c>
      <c r="D19" s="2" t="s">
        <v>6</v>
      </c>
      <c r="E19" s="2" t="s">
        <v>154</v>
      </c>
      <c r="F19" s="2">
        <v>14.601699999999999</v>
      </c>
      <c r="G19" s="2">
        <v>4.7382999999999997</v>
      </c>
      <c r="H19" s="2">
        <v>9.67</v>
      </c>
    </row>
    <row r="20" spans="1:8" x14ac:dyDescent="0.25">
      <c r="A20" s="2" t="s">
        <v>91</v>
      </c>
      <c r="B20" s="2">
        <v>2600</v>
      </c>
      <c r="C20" s="2" t="s">
        <v>154</v>
      </c>
      <c r="D20" s="2" t="s">
        <v>3</v>
      </c>
      <c r="E20" s="2" t="s">
        <v>155</v>
      </c>
      <c r="F20" s="2">
        <v>14.242599999999999</v>
      </c>
      <c r="G20" s="2">
        <v>5.8174000000000001</v>
      </c>
      <c r="H20" s="2">
        <v>10.029999999999999</v>
      </c>
    </row>
    <row r="21" spans="1:8" x14ac:dyDescent="0.25">
      <c r="A21" s="2" t="s">
        <v>63</v>
      </c>
      <c r="B21" s="2">
        <v>11000</v>
      </c>
      <c r="C21" s="2" t="s">
        <v>154</v>
      </c>
      <c r="D21" s="2" t="s">
        <v>5</v>
      </c>
      <c r="E21" s="2" t="s">
        <v>155</v>
      </c>
      <c r="F21" s="2">
        <v>60.3386</v>
      </c>
      <c r="G21" s="2">
        <v>31.781400000000001</v>
      </c>
      <c r="H21" s="2">
        <v>46.06</v>
      </c>
    </row>
    <row r="22" spans="1:8" x14ac:dyDescent="0.25">
      <c r="A22" s="2" t="s">
        <v>166</v>
      </c>
      <c r="B22" s="2">
        <v>10000</v>
      </c>
      <c r="C22" s="2" t="s">
        <v>155</v>
      </c>
      <c r="D22" s="2" t="s">
        <v>5</v>
      </c>
      <c r="E22" s="2" t="s">
        <v>154</v>
      </c>
      <c r="F22" s="2">
        <v>62.7254</v>
      </c>
      <c r="G22" s="2">
        <v>30.894600000000001</v>
      </c>
      <c r="H22" s="2">
        <v>46.81</v>
      </c>
    </row>
    <row r="23" spans="1:8" x14ac:dyDescent="0.25">
      <c r="A23" s="2" t="s">
        <v>95</v>
      </c>
      <c r="B23" s="2">
        <v>3100</v>
      </c>
      <c r="C23" s="2" t="s">
        <v>43</v>
      </c>
      <c r="D23" s="2" t="s">
        <v>7</v>
      </c>
      <c r="E23" s="2" t="s">
        <v>114</v>
      </c>
      <c r="F23" s="2">
        <v>16.5594</v>
      </c>
      <c r="G23" s="2">
        <v>6.6006</v>
      </c>
      <c r="H23" s="2">
        <v>11.58</v>
      </c>
    </row>
    <row r="24" spans="1:8" x14ac:dyDescent="0.25">
      <c r="A24" s="2" t="s">
        <v>116</v>
      </c>
      <c r="B24" s="2">
        <v>9200</v>
      </c>
      <c r="C24" s="2" t="s">
        <v>114</v>
      </c>
      <c r="D24" s="2" t="s">
        <v>3</v>
      </c>
      <c r="E24" s="2" t="s">
        <v>43</v>
      </c>
      <c r="F24" s="2">
        <v>56.233800000000002</v>
      </c>
      <c r="G24" s="2">
        <v>33.026200000000003</v>
      </c>
      <c r="H24" s="2">
        <v>44.63</v>
      </c>
    </row>
    <row r="25" spans="1:8" x14ac:dyDescent="0.25">
      <c r="A25" s="2" t="s">
        <v>167</v>
      </c>
      <c r="B25" s="2">
        <v>3300</v>
      </c>
      <c r="C25" s="2" t="s">
        <v>43</v>
      </c>
      <c r="D25" s="2" t="s">
        <v>7</v>
      </c>
      <c r="E25" s="2" t="s">
        <v>114</v>
      </c>
      <c r="F25" s="2">
        <v>20.741099999999999</v>
      </c>
      <c r="G25" s="2">
        <v>8.6789000000000005</v>
      </c>
      <c r="H25" s="2">
        <v>14.71</v>
      </c>
    </row>
    <row r="26" spans="1:8" x14ac:dyDescent="0.25">
      <c r="A26" s="2" t="s">
        <v>122</v>
      </c>
      <c r="B26" s="2">
        <v>6300</v>
      </c>
      <c r="C26" s="2" t="s">
        <v>114</v>
      </c>
      <c r="D26" s="2" t="s">
        <v>5</v>
      </c>
      <c r="E26" s="2" t="s">
        <v>43</v>
      </c>
      <c r="F26" s="2">
        <v>37.673999999999999</v>
      </c>
      <c r="G26" s="2">
        <v>20.286000000000001</v>
      </c>
      <c r="H26" s="2">
        <v>28.98</v>
      </c>
    </row>
    <row r="27" spans="1:8" x14ac:dyDescent="0.25">
      <c r="A27" s="2" t="s">
        <v>142</v>
      </c>
      <c r="B27" s="2">
        <v>2100</v>
      </c>
      <c r="C27" s="2" t="s">
        <v>114</v>
      </c>
      <c r="D27" s="2" t="s">
        <v>7</v>
      </c>
      <c r="E27" s="2" t="s">
        <v>43</v>
      </c>
      <c r="F27" s="2">
        <v>7.1288</v>
      </c>
      <c r="G27" s="2">
        <v>2.2511999999999999</v>
      </c>
      <c r="H27" s="2">
        <v>4.6900000000000004</v>
      </c>
    </row>
    <row r="28" spans="1:8" x14ac:dyDescent="0.25">
      <c r="A28" s="2" t="s">
        <v>168</v>
      </c>
      <c r="B28" s="2">
        <v>2500</v>
      </c>
      <c r="C28" s="2" t="s">
        <v>43</v>
      </c>
      <c r="D28" s="2" t="s">
        <v>3</v>
      </c>
      <c r="E28" s="2" t="s">
        <v>114</v>
      </c>
      <c r="F28" s="2">
        <v>14.956799999999999</v>
      </c>
      <c r="G28" s="2">
        <v>3.2831999999999999</v>
      </c>
      <c r="H28" s="2">
        <v>9.1199999999999992</v>
      </c>
    </row>
    <row r="29" spans="1:8" x14ac:dyDescent="0.25">
      <c r="A29" s="2" t="s">
        <v>133</v>
      </c>
      <c r="B29" s="2">
        <v>2500</v>
      </c>
      <c r="C29" s="2" t="s">
        <v>114</v>
      </c>
      <c r="D29" s="2" t="s">
        <v>4</v>
      </c>
      <c r="E29" s="2" t="s">
        <v>43</v>
      </c>
      <c r="F29" s="2">
        <v>9.2479999999999993</v>
      </c>
      <c r="G29" s="2">
        <v>4.3520000000000003</v>
      </c>
      <c r="H29" s="2">
        <v>6.8</v>
      </c>
    </row>
    <row r="30" spans="1:8" x14ac:dyDescent="0.25">
      <c r="A30" s="2" t="s">
        <v>125</v>
      </c>
      <c r="B30" s="2">
        <v>6500</v>
      </c>
      <c r="C30" s="2" t="s">
        <v>114</v>
      </c>
      <c r="D30" s="2" t="s">
        <v>7</v>
      </c>
      <c r="E30" s="2" t="s">
        <v>43</v>
      </c>
      <c r="F30" s="2">
        <v>38.156799999999997</v>
      </c>
      <c r="G30" s="2">
        <v>21.463200000000001</v>
      </c>
      <c r="H30" s="2">
        <v>29.81</v>
      </c>
    </row>
    <row r="31" spans="1:8" x14ac:dyDescent="0.25">
      <c r="A31" s="2" t="s">
        <v>169</v>
      </c>
      <c r="B31" s="2">
        <v>3500</v>
      </c>
      <c r="C31" s="2" t="s">
        <v>43</v>
      </c>
      <c r="D31" s="2" t="s">
        <v>4</v>
      </c>
      <c r="E31" s="2" t="s">
        <v>114</v>
      </c>
      <c r="F31" s="2">
        <v>15.428000000000001</v>
      </c>
      <c r="G31" s="2">
        <v>4.8719999999999999</v>
      </c>
      <c r="H31" s="2">
        <v>10.15</v>
      </c>
    </row>
    <row r="32" spans="1:8" x14ac:dyDescent="0.25">
      <c r="A32" s="2" t="s">
        <v>139</v>
      </c>
      <c r="B32" s="2">
        <v>2100</v>
      </c>
      <c r="C32" s="2" t="s">
        <v>114</v>
      </c>
      <c r="D32" s="2" t="s">
        <v>5</v>
      </c>
      <c r="E32" s="2" t="s">
        <v>43</v>
      </c>
      <c r="F32" s="2">
        <v>17.265599999999999</v>
      </c>
      <c r="G32" s="2">
        <v>8.8943999999999992</v>
      </c>
      <c r="H32" s="2">
        <v>13.08</v>
      </c>
    </row>
    <row r="33" spans="1:8" x14ac:dyDescent="0.25">
      <c r="A33" s="2" t="s">
        <v>130</v>
      </c>
      <c r="B33" s="2">
        <v>4800</v>
      </c>
      <c r="C33" s="2" t="s">
        <v>114</v>
      </c>
      <c r="D33" s="2" t="s">
        <v>6</v>
      </c>
      <c r="E33" s="2" t="s">
        <v>43</v>
      </c>
      <c r="F33" s="2">
        <v>27.86</v>
      </c>
      <c r="G33" s="2">
        <v>11.94</v>
      </c>
      <c r="H33" s="2">
        <v>19.899999999999999</v>
      </c>
    </row>
    <row r="34" spans="1:8" x14ac:dyDescent="0.25">
      <c r="A34" s="2" t="s">
        <v>135</v>
      </c>
      <c r="B34" s="2">
        <v>2300</v>
      </c>
      <c r="C34" s="2" t="s">
        <v>114</v>
      </c>
      <c r="D34" s="2" t="s">
        <v>3</v>
      </c>
      <c r="E34" s="2" t="s">
        <v>43</v>
      </c>
      <c r="F34" s="2">
        <v>8.8857999999999997</v>
      </c>
      <c r="G34" s="2">
        <v>2.6541999999999999</v>
      </c>
      <c r="H34" s="2">
        <v>5.77</v>
      </c>
    </row>
    <row r="35" spans="1:8" x14ac:dyDescent="0.25">
      <c r="A35" s="2" t="s">
        <v>170</v>
      </c>
      <c r="B35" s="2">
        <v>5100</v>
      </c>
      <c r="C35" s="2" t="s">
        <v>43</v>
      </c>
      <c r="D35" s="2" t="s">
        <v>6</v>
      </c>
      <c r="E35" s="2" t="s">
        <v>114</v>
      </c>
      <c r="F35" s="2">
        <v>36.575000000000003</v>
      </c>
      <c r="G35" s="2">
        <v>18.425000000000001</v>
      </c>
      <c r="H35" s="2">
        <v>27.5</v>
      </c>
    </row>
    <row r="36" spans="1:8" x14ac:dyDescent="0.25">
      <c r="A36" s="2" t="s">
        <v>171</v>
      </c>
      <c r="B36" s="2">
        <v>10000</v>
      </c>
      <c r="C36" s="2" t="s">
        <v>155</v>
      </c>
      <c r="D36" s="2" t="s">
        <v>3</v>
      </c>
      <c r="E36" s="2" t="s">
        <v>154</v>
      </c>
      <c r="F36" s="2">
        <v>63.756</v>
      </c>
      <c r="G36" s="2">
        <v>28.643999999999998</v>
      </c>
      <c r="H36" s="2">
        <v>46.2</v>
      </c>
    </row>
    <row r="37" spans="1:8" x14ac:dyDescent="0.25">
      <c r="A37" s="2" t="s">
        <v>127</v>
      </c>
      <c r="B37" s="2">
        <v>5100</v>
      </c>
      <c r="C37" s="2" t="s">
        <v>114</v>
      </c>
      <c r="D37" s="2" t="s">
        <v>7</v>
      </c>
      <c r="E37" s="2" t="s">
        <v>43</v>
      </c>
      <c r="F37" s="2">
        <v>30.783999999999999</v>
      </c>
      <c r="G37" s="2">
        <v>16.576000000000001</v>
      </c>
      <c r="H37" s="2">
        <v>23.68</v>
      </c>
    </row>
    <row r="38" spans="1:8" x14ac:dyDescent="0.25">
      <c r="A38" s="2" t="s">
        <v>172</v>
      </c>
      <c r="B38" s="2">
        <v>12500</v>
      </c>
      <c r="C38" s="2" t="s">
        <v>43</v>
      </c>
      <c r="D38" s="2" t="s">
        <v>5</v>
      </c>
      <c r="E38" s="2" t="s">
        <v>114</v>
      </c>
      <c r="F38" s="2">
        <v>69.837500000000006</v>
      </c>
      <c r="G38" s="2">
        <v>41.902500000000003</v>
      </c>
      <c r="H38" s="2">
        <v>55.87</v>
      </c>
    </row>
    <row r="39" spans="1:8" x14ac:dyDescent="0.25">
      <c r="A39" s="2" t="s">
        <v>173</v>
      </c>
      <c r="B39" s="2">
        <v>7500</v>
      </c>
      <c r="C39" s="2" t="s">
        <v>43</v>
      </c>
      <c r="D39" s="2" t="s">
        <v>4</v>
      </c>
      <c r="E39" s="2" t="s">
        <v>114</v>
      </c>
      <c r="F39" s="2">
        <v>45.813600000000001</v>
      </c>
      <c r="G39" s="2">
        <v>26.906400000000001</v>
      </c>
      <c r="H39" s="2">
        <v>36.36</v>
      </c>
    </row>
    <row r="40" spans="1:8" x14ac:dyDescent="0.25">
      <c r="A40" s="2" t="s">
        <v>174</v>
      </c>
      <c r="B40" s="2">
        <v>3500</v>
      </c>
      <c r="C40" s="2" t="s">
        <v>43</v>
      </c>
      <c r="D40" s="2" t="s">
        <v>7</v>
      </c>
      <c r="E40" s="2" t="s">
        <v>114</v>
      </c>
      <c r="F40" s="2">
        <v>20.9251</v>
      </c>
      <c r="G40" s="2">
        <v>4.1349</v>
      </c>
      <c r="H40" s="2">
        <v>12.53</v>
      </c>
    </row>
    <row r="41" spans="1:8" x14ac:dyDescent="0.25">
      <c r="A41" s="2" t="s">
        <v>175</v>
      </c>
      <c r="B41" s="2">
        <v>8800</v>
      </c>
      <c r="C41" s="2" t="s">
        <v>43</v>
      </c>
      <c r="D41" s="2" t="s">
        <v>3</v>
      </c>
      <c r="E41" s="2" t="s">
        <v>114</v>
      </c>
      <c r="F41" s="2">
        <v>52.539499999999997</v>
      </c>
      <c r="G41" s="2">
        <v>24.160499999999999</v>
      </c>
      <c r="H41" s="2">
        <v>38.35</v>
      </c>
    </row>
    <row r="42" spans="1:8" x14ac:dyDescent="0.25">
      <c r="A42" s="2" t="s">
        <v>118</v>
      </c>
      <c r="B42" s="2">
        <v>8000</v>
      </c>
      <c r="C42" s="2" t="s">
        <v>114</v>
      </c>
      <c r="D42" s="2" t="s">
        <v>6</v>
      </c>
      <c r="E42" s="2" t="s">
        <v>43</v>
      </c>
      <c r="F42" s="2">
        <v>45.750599999999999</v>
      </c>
      <c r="G42" s="2">
        <v>26.869399999999999</v>
      </c>
      <c r="H42" s="2">
        <v>36.31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DraftKings Basketball  Solver</vt:lpstr>
      <vt:lpstr>RawData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2017-05-19T11:27:23Z</dcterms:modified>
</cp:coreProperties>
</file>