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FanduelExcel" sheetId="5" r:id="rId2"/>
    <sheet name="MaxData" sheetId="6" r:id="rId3"/>
    <sheet name="FanduelExcelSub" sheetId="9" r:id="rId4"/>
    <sheet name="OrganizedData" sheetId="7" r:id="rId5"/>
    <sheet name="Optimizer" sheetId="4" r:id="rId6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5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5" hidden="1">1</definedName>
    <definedName name="solver_nod" localSheetId="0" hidden="1">2147483647</definedName>
    <definedName name="solver_num" localSheetId="0" hidden="1">8</definedName>
    <definedName name="solver_num" localSheetId="5" hidden="1">0</definedName>
    <definedName name="solver_nwt" localSheetId="0" hidden="1">1</definedName>
    <definedName name="solver_opt" localSheetId="0" hidden="1">'DraftKings Basketball  Solver'!$O$11</definedName>
    <definedName name="solver_opt" localSheetId="5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5" hidden="1">1</definedName>
    <definedName name="solver_val" localSheetId="0" hidden="1">0</definedName>
    <definedName name="solver_val" localSheetId="5" hidden="1">0</definedName>
    <definedName name="solver_ver" localSheetId="0" hidden="1">3</definedName>
    <definedName name="solver_ver" localSheetId="5" hidden="1">3</definedName>
  </definedNames>
  <calcPr calcId="171027"/>
</workbook>
</file>

<file path=xl/calcChain.xml><?xml version="1.0" encoding="utf-8"?>
<calcChain xmlns="http://schemas.openxmlformats.org/spreadsheetml/2006/main">
  <c r="P26" i="2" l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1" i="7"/>
  <c r="D1" i="7"/>
  <c r="E1" i="7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1" i="9"/>
  <c r="A2" i="9" l="1"/>
  <c r="B2" i="9"/>
  <c r="C2" i="9"/>
  <c r="A3" i="9"/>
  <c r="B3" i="9"/>
  <c r="C3" i="9"/>
  <c r="A4" i="9"/>
  <c r="B4" i="9"/>
  <c r="C4" i="9"/>
  <c r="A5" i="9"/>
  <c r="B5" i="9"/>
  <c r="C5" i="9"/>
  <c r="A6" i="9"/>
  <c r="B6" i="9"/>
  <c r="C6" i="9"/>
  <c r="A7" i="9"/>
  <c r="B7" i="9"/>
  <c r="C7" i="9"/>
  <c r="A8" i="9"/>
  <c r="B8" i="9"/>
  <c r="C8" i="9"/>
  <c r="A9" i="9"/>
  <c r="B9" i="9"/>
  <c r="C9" i="9"/>
  <c r="A10" i="9"/>
  <c r="B10" i="9"/>
  <c r="C10" i="9"/>
  <c r="A11" i="9"/>
  <c r="B11" i="9"/>
  <c r="C11" i="9"/>
  <c r="A12" i="9"/>
  <c r="B12" i="9"/>
  <c r="C12" i="9"/>
  <c r="A13" i="9"/>
  <c r="B13" i="9"/>
  <c r="C13" i="9"/>
  <c r="A14" i="9"/>
  <c r="B14" i="9"/>
  <c r="C14" i="9"/>
  <c r="A15" i="9"/>
  <c r="B15" i="9"/>
  <c r="C15" i="9"/>
  <c r="A16" i="9"/>
  <c r="B16" i="9"/>
  <c r="C16" i="9"/>
  <c r="A17" i="9"/>
  <c r="B17" i="9"/>
  <c r="C17" i="9"/>
  <c r="A18" i="9"/>
  <c r="B18" i="9"/>
  <c r="C18" i="9"/>
  <c r="A19" i="9"/>
  <c r="B19" i="9"/>
  <c r="C19" i="9"/>
  <c r="A20" i="9"/>
  <c r="B20" i="9"/>
  <c r="C20" i="9"/>
  <c r="A21" i="9"/>
  <c r="B21" i="9"/>
  <c r="C21" i="9"/>
  <c r="A22" i="9"/>
  <c r="B22" i="9"/>
  <c r="C22" i="9"/>
  <c r="A23" i="9"/>
  <c r="B23" i="9"/>
  <c r="C23" i="9"/>
  <c r="A24" i="9"/>
  <c r="B24" i="9"/>
  <c r="C24" i="9"/>
  <c r="A25" i="9"/>
  <c r="B25" i="9"/>
  <c r="C25" i="9"/>
  <c r="A26" i="9"/>
  <c r="B26" i="9"/>
  <c r="C26" i="9"/>
  <c r="A27" i="9"/>
  <c r="B27" i="9"/>
  <c r="C27" i="9"/>
  <c r="A28" i="9"/>
  <c r="B28" i="9"/>
  <c r="C28" i="9"/>
  <c r="A29" i="9"/>
  <c r="B29" i="9"/>
  <c r="C29" i="9"/>
  <c r="A30" i="9"/>
  <c r="B30" i="9"/>
  <c r="C30" i="9"/>
  <c r="A31" i="9"/>
  <c r="B31" i="9"/>
  <c r="C31" i="9"/>
  <c r="A32" i="9"/>
  <c r="B32" i="9"/>
  <c r="C32" i="9"/>
  <c r="A33" i="9"/>
  <c r="B33" i="9"/>
  <c r="C33" i="9"/>
  <c r="A34" i="9"/>
  <c r="B34" i="9"/>
  <c r="C34" i="9"/>
  <c r="A35" i="9"/>
  <c r="B35" i="9"/>
  <c r="C35" i="9"/>
  <c r="A36" i="9"/>
  <c r="B36" i="9"/>
  <c r="C36" i="9"/>
  <c r="A37" i="9"/>
  <c r="B37" i="9"/>
  <c r="C37" i="9"/>
  <c r="A38" i="9"/>
  <c r="B38" i="9"/>
  <c r="C38" i="9"/>
  <c r="A39" i="9"/>
  <c r="B39" i="9"/>
  <c r="C39" i="9"/>
  <c r="A40" i="9"/>
  <c r="B40" i="9"/>
  <c r="C40" i="9"/>
  <c r="A41" i="9"/>
  <c r="B41" i="9"/>
  <c r="C41" i="9"/>
  <c r="A42" i="9"/>
  <c r="B42" i="9"/>
  <c r="C42" i="9"/>
  <c r="A43" i="9"/>
  <c r="B43" i="9"/>
  <c r="C43" i="9"/>
  <c r="A44" i="9"/>
  <c r="B44" i="9"/>
  <c r="C44" i="9"/>
  <c r="A45" i="9"/>
  <c r="B45" i="9"/>
  <c r="C45" i="9"/>
  <c r="A46" i="9"/>
  <c r="B46" i="9"/>
  <c r="C46" i="9"/>
  <c r="A47" i="9"/>
  <c r="B47" i="9"/>
  <c r="C47" i="9"/>
  <c r="A48" i="9"/>
  <c r="B48" i="9"/>
  <c r="C48" i="9"/>
  <c r="A49" i="9"/>
  <c r="B49" i="9"/>
  <c r="C49" i="9"/>
  <c r="A50" i="9"/>
  <c r="B50" i="9"/>
  <c r="C50" i="9"/>
  <c r="A51" i="9"/>
  <c r="B51" i="9"/>
  <c r="C51" i="9"/>
  <c r="A52" i="9"/>
  <c r="B52" i="9"/>
  <c r="C52" i="9"/>
  <c r="A53" i="9"/>
  <c r="B53" i="9"/>
  <c r="C53" i="9"/>
  <c r="A54" i="9"/>
  <c r="B54" i="9"/>
  <c r="C54" i="9"/>
  <c r="A55" i="9"/>
  <c r="B55" i="9"/>
  <c r="C55" i="9"/>
  <c r="A56" i="9"/>
  <c r="B56" i="9"/>
  <c r="C56" i="9"/>
  <c r="A57" i="9"/>
  <c r="B57" i="9"/>
  <c r="C57" i="9"/>
  <c r="A58" i="9"/>
  <c r="B58" i="9"/>
  <c r="C58" i="9"/>
  <c r="A59" i="9"/>
  <c r="B59" i="9"/>
  <c r="C59" i="9"/>
  <c r="A60" i="9"/>
  <c r="B60" i="9"/>
  <c r="C60" i="9"/>
  <c r="A61" i="9"/>
  <c r="B61" i="9"/>
  <c r="C61" i="9"/>
  <c r="A62" i="9"/>
  <c r="B62" i="9"/>
  <c r="C62" i="9"/>
  <c r="A63" i="9"/>
  <c r="B63" i="9"/>
  <c r="C63" i="9"/>
  <c r="A64" i="9"/>
  <c r="B64" i="9"/>
  <c r="C64" i="9"/>
  <c r="A65" i="9"/>
  <c r="B65" i="9"/>
  <c r="C65" i="9"/>
  <c r="A66" i="9"/>
  <c r="B66" i="9"/>
  <c r="C66" i="9"/>
  <c r="A67" i="9"/>
  <c r="B67" i="9"/>
  <c r="C67" i="9"/>
  <c r="A68" i="9"/>
  <c r="B68" i="9"/>
  <c r="C68" i="9"/>
  <c r="A69" i="9"/>
  <c r="B69" i="9"/>
  <c r="C69" i="9"/>
  <c r="A70" i="9"/>
  <c r="B70" i="9"/>
  <c r="C70" i="9"/>
  <c r="A71" i="9"/>
  <c r="B71" i="9"/>
  <c r="C71" i="9"/>
  <c r="A72" i="9"/>
  <c r="B72" i="9"/>
  <c r="C72" i="9"/>
  <c r="A73" i="9"/>
  <c r="B73" i="9"/>
  <c r="C73" i="9"/>
  <c r="A74" i="9"/>
  <c r="B74" i="9"/>
  <c r="C74" i="9"/>
  <c r="A75" i="9"/>
  <c r="B75" i="9"/>
  <c r="C75" i="9"/>
  <c r="A76" i="9"/>
  <c r="B76" i="9"/>
  <c r="C76" i="9"/>
  <c r="A77" i="9"/>
  <c r="B77" i="9"/>
  <c r="C77" i="9"/>
  <c r="A78" i="9"/>
  <c r="B78" i="9"/>
  <c r="C78" i="9"/>
  <c r="A79" i="9"/>
  <c r="B79" i="9"/>
  <c r="C79" i="9"/>
  <c r="A80" i="9"/>
  <c r="B80" i="9"/>
  <c r="C80" i="9"/>
  <c r="A81" i="9"/>
  <c r="B81" i="9"/>
  <c r="C81" i="9"/>
  <c r="A82" i="9"/>
  <c r="B82" i="9"/>
  <c r="C82" i="9"/>
  <c r="A83" i="9"/>
  <c r="B83" i="9"/>
  <c r="C83" i="9"/>
  <c r="A84" i="9"/>
  <c r="B84" i="9"/>
  <c r="C84" i="9"/>
  <c r="A85" i="9"/>
  <c r="B85" i="9"/>
  <c r="C85" i="9"/>
  <c r="A86" i="9"/>
  <c r="B86" i="9"/>
  <c r="C86" i="9"/>
  <c r="A87" i="9"/>
  <c r="B87" i="9"/>
  <c r="C87" i="9"/>
  <c r="A88" i="9"/>
  <c r="B88" i="9"/>
  <c r="C88" i="9"/>
  <c r="A89" i="9"/>
  <c r="B89" i="9"/>
  <c r="C89" i="9"/>
  <c r="A90" i="9"/>
  <c r="B90" i="9"/>
  <c r="C90" i="9"/>
  <c r="A91" i="9"/>
  <c r="B91" i="9"/>
  <c r="C91" i="9"/>
  <c r="A92" i="9"/>
  <c r="B92" i="9"/>
  <c r="C92" i="9"/>
  <c r="A93" i="9"/>
  <c r="B93" i="9"/>
  <c r="C93" i="9"/>
  <c r="A94" i="9"/>
  <c r="B94" i="9"/>
  <c r="C94" i="9"/>
  <c r="A95" i="9"/>
  <c r="B95" i="9"/>
  <c r="C95" i="9"/>
  <c r="A96" i="9"/>
  <c r="B96" i="9"/>
  <c r="C96" i="9"/>
  <c r="A97" i="9"/>
  <c r="B97" i="9"/>
  <c r="C97" i="9"/>
  <c r="A98" i="9"/>
  <c r="B98" i="9"/>
  <c r="C98" i="9"/>
  <c r="A99" i="9"/>
  <c r="B99" i="9"/>
  <c r="C99" i="9"/>
  <c r="A100" i="9"/>
  <c r="B100" i="9"/>
  <c r="C100" i="9"/>
  <c r="A101" i="9"/>
  <c r="B101" i="9"/>
  <c r="C101" i="9"/>
  <c r="A102" i="9"/>
  <c r="B102" i="9"/>
  <c r="C102" i="9"/>
  <c r="A103" i="9"/>
  <c r="B103" i="9"/>
  <c r="C103" i="9"/>
  <c r="A104" i="9"/>
  <c r="B104" i="9"/>
  <c r="C104" i="9"/>
  <c r="A105" i="9"/>
  <c r="B105" i="9"/>
  <c r="C105" i="9"/>
  <c r="A106" i="9"/>
  <c r="B106" i="9"/>
  <c r="C106" i="9"/>
  <c r="A107" i="9"/>
  <c r="B107" i="9"/>
  <c r="C107" i="9"/>
  <c r="A108" i="9"/>
  <c r="B108" i="9"/>
  <c r="C108" i="9"/>
  <c r="A109" i="9"/>
  <c r="B109" i="9"/>
  <c r="C109" i="9"/>
  <c r="A110" i="9"/>
  <c r="B110" i="9"/>
  <c r="C110" i="9"/>
  <c r="A111" i="9"/>
  <c r="B111" i="9"/>
  <c r="C111" i="9"/>
  <c r="A112" i="9"/>
  <c r="B112" i="9"/>
  <c r="C112" i="9"/>
  <c r="A113" i="9"/>
  <c r="B113" i="9"/>
  <c r="C113" i="9"/>
  <c r="A114" i="9"/>
  <c r="B114" i="9"/>
  <c r="C114" i="9"/>
  <c r="A115" i="9"/>
  <c r="B115" i="9"/>
  <c r="C115" i="9"/>
  <c r="A116" i="9"/>
  <c r="B116" i="9"/>
  <c r="C116" i="9"/>
  <c r="A117" i="9"/>
  <c r="B117" i="9"/>
  <c r="C117" i="9"/>
  <c r="A118" i="9"/>
  <c r="B118" i="9"/>
  <c r="C118" i="9"/>
  <c r="A119" i="9"/>
  <c r="B119" i="9"/>
  <c r="C119" i="9"/>
  <c r="A120" i="9"/>
  <c r="B120" i="9"/>
  <c r="C120" i="9"/>
  <c r="A121" i="9"/>
  <c r="B121" i="9"/>
  <c r="C121" i="9"/>
  <c r="A122" i="9"/>
  <c r="B122" i="9"/>
  <c r="C122" i="9"/>
  <c r="A123" i="9"/>
  <c r="B123" i="9"/>
  <c r="C123" i="9"/>
  <c r="A124" i="9"/>
  <c r="B124" i="9"/>
  <c r="C124" i="9"/>
  <c r="A125" i="9"/>
  <c r="B125" i="9"/>
  <c r="C125" i="9"/>
  <c r="A126" i="9"/>
  <c r="B126" i="9"/>
  <c r="C126" i="9"/>
  <c r="A127" i="9"/>
  <c r="B127" i="9"/>
  <c r="C127" i="9"/>
  <c r="A128" i="9"/>
  <c r="B128" i="9"/>
  <c r="C128" i="9"/>
  <c r="A129" i="9"/>
  <c r="B129" i="9"/>
  <c r="C129" i="9"/>
  <c r="A130" i="9"/>
  <c r="B130" i="9"/>
  <c r="C130" i="9"/>
  <c r="A131" i="9"/>
  <c r="B131" i="9"/>
  <c r="C131" i="9"/>
  <c r="A132" i="9"/>
  <c r="B132" i="9"/>
  <c r="C132" i="9"/>
  <c r="A133" i="9"/>
  <c r="B133" i="9"/>
  <c r="C133" i="9"/>
  <c r="A134" i="9"/>
  <c r="B134" i="9"/>
  <c r="C134" i="9"/>
  <c r="A135" i="9"/>
  <c r="B135" i="9"/>
  <c r="C135" i="9"/>
  <c r="A136" i="9"/>
  <c r="B136" i="9"/>
  <c r="C136" i="9"/>
  <c r="A137" i="9"/>
  <c r="B137" i="9"/>
  <c r="C137" i="9"/>
  <c r="A138" i="9"/>
  <c r="B138" i="9"/>
  <c r="C138" i="9"/>
  <c r="A139" i="9"/>
  <c r="B139" i="9"/>
  <c r="C139" i="9"/>
  <c r="A140" i="9"/>
  <c r="B140" i="9"/>
  <c r="C140" i="9"/>
  <c r="A141" i="9"/>
  <c r="B141" i="9"/>
  <c r="C141" i="9"/>
  <c r="A142" i="9"/>
  <c r="B142" i="9"/>
  <c r="C142" i="9"/>
  <c r="A143" i="9"/>
  <c r="B143" i="9"/>
  <c r="C143" i="9"/>
  <c r="A144" i="9"/>
  <c r="B144" i="9"/>
  <c r="C144" i="9"/>
  <c r="A145" i="9"/>
  <c r="B145" i="9"/>
  <c r="C145" i="9"/>
  <c r="A146" i="9"/>
  <c r="B146" i="9"/>
  <c r="C146" i="9"/>
  <c r="A147" i="9"/>
  <c r="B147" i="9"/>
  <c r="C147" i="9"/>
  <c r="A148" i="9"/>
  <c r="B148" i="9"/>
  <c r="C148" i="9"/>
  <c r="A149" i="9"/>
  <c r="B149" i="9"/>
  <c r="C149" i="9"/>
  <c r="A150" i="9"/>
  <c r="B150" i="9"/>
  <c r="C150" i="9"/>
  <c r="A151" i="9"/>
  <c r="B151" i="9"/>
  <c r="C151" i="9"/>
  <c r="A152" i="9"/>
  <c r="B152" i="9"/>
  <c r="C152" i="9"/>
  <c r="A153" i="9"/>
  <c r="B153" i="9"/>
  <c r="C153" i="9"/>
  <c r="A154" i="9"/>
  <c r="B154" i="9"/>
  <c r="C154" i="9"/>
  <c r="A155" i="9"/>
  <c r="B155" i="9"/>
  <c r="C155" i="9"/>
  <c r="A156" i="9"/>
  <c r="B156" i="9"/>
  <c r="C156" i="9"/>
  <c r="A157" i="9"/>
  <c r="B157" i="9"/>
  <c r="C157" i="9"/>
  <c r="A158" i="9"/>
  <c r="B158" i="9"/>
  <c r="C158" i="9"/>
  <c r="A159" i="9"/>
  <c r="B159" i="9"/>
  <c r="C159" i="9"/>
  <c r="A160" i="9"/>
  <c r="B160" i="9"/>
  <c r="C160" i="9"/>
  <c r="A161" i="9"/>
  <c r="B161" i="9"/>
  <c r="C161" i="9"/>
  <c r="A162" i="9"/>
  <c r="B162" i="9"/>
  <c r="C162" i="9"/>
  <c r="A163" i="9"/>
  <c r="B163" i="9"/>
  <c r="C163" i="9"/>
  <c r="A164" i="9"/>
  <c r="B164" i="9"/>
  <c r="C164" i="9"/>
  <c r="A165" i="9"/>
  <c r="B165" i="9"/>
  <c r="C165" i="9"/>
  <c r="A166" i="9"/>
  <c r="B166" i="9"/>
  <c r="C166" i="9"/>
  <c r="A167" i="9"/>
  <c r="B167" i="9"/>
  <c r="C167" i="9"/>
  <c r="A168" i="9"/>
  <c r="B168" i="9"/>
  <c r="C168" i="9"/>
  <c r="A169" i="9"/>
  <c r="B169" i="9"/>
  <c r="C169" i="9"/>
  <c r="A170" i="9"/>
  <c r="B170" i="9"/>
  <c r="C170" i="9"/>
  <c r="A171" i="9"/>
  <c r="B171" i="9"/>
  <c r="C171" i="9"/>
  <c r="A172" i="9"/>
  <c r="B172" i="9"/>
  <c r="C172" i="9"/>
  <c r="A173" i="9"/>
  <c r="B173" i="9"/>
  <c r="C173" i="9"/>
  <c r="A174" i="9"/>
  <c r="B174" i="9"/>
  <c r="C174" i="9"/>
  <c r="A175" i="9"/>
  <c r="B175" i="9"/>
  <c r="C175" i="9"/>
  <c r="A176" i="9"/>
  <c r="B176" i="9"/>
  <c r="C176" i="9"/>
  <c r="A177" i="9"/>
  <c r="B177" i="9"/>
  <c r="C177" i="9"/>
  <c r="A178" i="9"/>
  <c r="B178" i="9"/>
  <c r="C178" i="9"/>
  <c r="A179" i="9"/>
  <c r="B179" i="9"/>
  <c r="C179" i="9"/>
  <c r="A180" i="9"/>
  <c r="B180" i="9"/>
  <c r="C180" i="9"/>
  <c r="A181" i="9"/>
  <c r="B181" i="9"/>
  <c r="C181" i="9"/>
  <c r="A182" i="9"/>
  <c r="B182" i="9"/>
  <c r="C182" i="9"/>
  <c r="A183" i="9"/>
  <c r="B183" i="9"/>
  <c r="C183" i="9"/>
  <c r="A184" i="9"/>
  <c r="B184" i="9"/>
  <c r="C184" i="9"/>
  <c r="A185" i="9"/>
  <c r="B185" i="9"/>
  <c r="C185" i="9"/>
  <c r="A186" i="9"/>
  <c r="B186" i="9"/>
  <c r="C186" i="9"/>
  <c r="A187" i="9"/>
  <c r="B187" i="9"/>
  <c r="C187" i="9"/>
  <c r="A188" i="9"/>
  <c r="B188" i="9"/>
  <c r="C188" i="9"/>
  <c r="A189" i="9"/>
  <c r="B189" i="9"/>
  <c r="C189" i="9"/>
  <c r="A190" i="9"/>
  <c r="B190" i="9"/>
  <c r="C190" i="9"/>
  <c r="A191" i="9"/>
  <c r="B191" i="9"/>
  <c r="C191" i="9"/>
  <c r="A192" i="9"/>
  <c r="B192" i="9"/>
  <c r="C192" i="9"/>
  <c r="A193" i="9"/>
  <c r="B193" i="9"/>
  <c r="C193" i="9"/>
  <c r="A194" i="9"/>
  <c r="B194" i="9"/>
  <c r="C194" i="9"/>
  <c r="A195" i="9"/>
  <c r="B195" i="9"/>
  <c r="C195" i="9"/>
  <c r="A196" i="9"/>
  <c r="B196" i="9"/>
  <c r="C196" i="9"/>
  <c r="A197" i="9"/>
  <c r="B197" i="9"/>
  <c r="C197" i="9"/>
  <c r="A198" i="9"/>
  <c r="B198" i="9"/>
  <c r="C198" i="9"/>
  <c r="A199" i="9"/>
  <c r="B199" i="9"/>
  <c r="C199" i="9"/>
  <c r="A200" i="9"/>
  <c r="B200" i="9"/>
  <c r="C200" i="9"/>
  <c r="A201" i="9"/>
  <c r="B201" i="9"/>
  <c r="C201" i="9"/>
  <c r="A202" i="9"/>
  <c r="B202" i="9"/>
  <c r="C202" i="9"/>
  <c r="A203" i="9"/>
  <c r="B203" i="9"/>
  <c r="C203" i="9"/>
  <c r="A204" i="9"/>
  <c r="B204" i="9"/>
  <c r="C204" i="9"/>
  <c r="A205" i="9"/>
  <c r="B205" i="9"/>
  <c r="C205" i="9"/>
  <c r="A206" i="9"/>
  <c r="B206" i="9"/>
  <c r="C206" i="9"/>
  <c r="A207" i="9"/>
  <c r="B207" i="9"/>
  <c r="C207" i="9"/>
  <c r="A208" i="9"/>
  <c r="B208" i="9"/>
  <c r="C208" i="9"/>
  <c r="A209" i="9"/>
  <c r="B209" i="9"/>
  <c r="C209" i="9"/>
  <c r="A210" i="9"/>
  <c r="B210" i="9"/>
  <c r="C210" i="9"/>
  <c r="A211" i="9"/>
  <c r="B211" i="9"/>
  <c r="C211" i="9"/>
  <c r="A212" i="9"/>
  <c r="B212" i="9"/>
  <c r="C212" i="9"/>
  <c r="A213" i="9"/>
  <c r="B213" i="9"/>
  <c r="C213" i="9"/>
  <c r="A214" i="9"/>
  <c r="B214" i="9"/>
  <c r="C214" i="9"/>
  <c r="A215" i="9"/>
  <c r="B215" i="9"/>
  <c r="C215" i="9"/>
  <c r="A216" i="9"/>
  <c r="B216" i="9"/>
  <c r="C216" i="9"/>
  <c r="A217" i="9"/>
  <c r="B217" i="9"/>
  <c r="C217" i="9"/>
  <c r="A218" i="9"/>
  <c r="B218" i="9"/>
  <c r="C218" i="9"/>
  <c r="A219" i="9"/>
  <c r="B219" i="9"/>
  <c r="C219" i="9"/>
  <c r="A220" i="9"/>
  <c r="B220" i="9"/>
  <c r="C220" i="9"/>
  <c r="A221" i="9"/>
  <c r="B221" i="9"/>
  <c r="C221" i="9"/>
  <c r="A222" i="9"/>
  <c r="B222" i="9"/>
  <c r="C222" i="9"/>
  <c r="A223" i="9"/>
  <c r="B223" i="9"/>
  <c r="C223" i="9"/>
  <c r="A224" i="9"/>
  <c r="B224" i="9"/>
  <c r="C224" i="9"/>
  <c r="A225" i="9"/>
  <c r="B225" i="9"/>
  <c r="C225" i="9"/>
  <c r="A226" i="9"/>
  <c r="B226" i="9"/>
  <c r="C226" i="9"/>
  <c r="A227" i="9"/>
  <c r="B227" i="9"/>
  <c r="C227" i="9"/>
  <c r="A228" i="9"/>
  <c r="B228" i="9"/>
  <c r="C228" i="9"/>
  <c r="A229" i="9"/>
  <c r="B229" i="9"/>
  <c r="C229" i="9"/>
  <c r="A230" i="9"/>
  <c r="B230" i="9"/>
  <c r="C230" i="9"/>
  <c r="A231" i="9"/>
  <c r="B231" i="9"/>
  <c r="C231" i="9"/>
  <c r="A232" i="9"/>
  <c r="B232" i="9"/>
  <c r="C232" i="9"/>
  <c r="A233" i="9"/>
  <c r="B233" i="9"/>
  <c r="C233" i="9"/>
  <c r="A234" i="9"/>
  <c r="B234" i="9"/>
  <c r="C234" i="9"/>
  <c r="A235" i="9"/>
  <c r="B235" i="9"/>
  <c r="C235" i="9"/>
  <c r="A236" i="9"/>
  <c r="B236" i="9"/>
  <c r="C236" i="9"/>
  <c r="A237" i="9"/>
  <c r="B237" i="9"/>
  <c r="C237" i="9"/>
  <c r="A238" i="9"/>
  <c r="B238" i="9"/>
  <c r="C238" i="9"/>
  <c r="A239" i="9"/>
  <c r="B239" i="9"/>
  <c r="C239" i="9"/>
  <c r="A240" i="9"/>
  <c r="B240" i="9"/>
  <c r="C240" i="9"/>
  <c r="A241" i="9"/>
  <c r="B241" i="9"/>
  <c r="C241" i="9"/>
  <c r="A242" i="9"/>
  <c r="B242" i="9"/>
  <c r="C242" i="9"/>
  <c r="A243" i="9"/>
  <c r="B243" i="9"/>
  <c r="C243" i="9"/>
  <c r="A244" i="9"/>
  <c r="B244" i="9"/>
  <c r="C244" i="9"/>
  <c r="A245" i="9"/>
  <c r="B245" i="9"/>
  <c r="C245" i="9"/>
  <c r="A246" i="9"/>
  <c r="B246" i="9"/>
  <c r="C246" i="9"/>
  <c r="A247" i="9"/>
  <c r="B247" i="9"/>
  <c r="C247" i="9"/>
  <c r="A248" i="9"/>
  <c r="B248" i="9"/>
  <c r="C248" i="9"/>
  <c r="A249" i="9"/>
  <c r="B249" i="9"/>
  <c r="C249" i="9"/>
  <c r="A250" i="9"/>
  <c r="B250" i="9"/>
  <c r="C250" i="9"/>
  <c r="A251" i="9"/>
  <c r="B251" i="9"/>
  <c r="C251" i="9"/>
  <c r="A252" i="9"/>
  <c r="B252" i="9"/>
  <c r="C252" i="9"/>
  <c r="A253" i="9"/>
  <c r="B253" i="9"/>
  <c r="C253" i="9"/>
  <c r="A254" i="9"/>
  <c r="B254" i="9"/>
  <c r="C254" i="9"/>
  <c r="A255" i="9"/>
  <c r="B255" i="9"/>
  <c r="C255" i="9"/>
  <c r="A256" i="9"/>
  <c r="B256" i="9"/>
  <c r="C256" i="9"/>
  <c r="A257" i="9"/>
  <c r="B257" i="9"/>
  <c r="C257" i="9"/>
  <c r="A258" i="9"/>
  <c r="B258" i="9"/>
  <c r="C258" i="9"/>
  <c r="A259" i="9"/>
  <c r="B259" i="9"/>
  <c r="C259" i="9"/>
  <c r="A260" i="9"/>
  <c r="B260" i="9"/>
  <c r="C260" i="9"/>
  <c r="A261" i="9"/>
  <c r="B261" i="9"/>
  <c r="C261" i="9"/>
  <c r="A262" i="9"/>
  <c r="B262" i="9"/>
  <c r="C262" i="9"/>
  <c r="A263" i="9"/>
  <c r="B263" i="9"/>
  <c r="C263" i="9"/>
  <c r="A264" i="9"/>
  <c r="B264" i="9"/>
  <c r="C264" i="9"/>
  <c r="A265" i="9"/>
  <c r="B265" i="9"/>
  <c r="C265" i="9"/>
  <c r="A266" i="9"/>
  <c r="B266" i="9"/>
  <c r="C266" i="9"/>
  <c r="A267" i="9"/>
  <c r="B267" i="9"/>
  <c r="C267" i="9"/>
  <c r="A268" i="9"/>
  <c r="B268" i="9"/>
  <c r="C268" i="9"/>
  <c r="A269" i="9"/>
  <c r="B269" i="9"/>
  <c r="C269" i="9"/>
  <c r="A270" i="9"/>
  <c r="B270" i="9"/>
  <c r="C270" i="9"/>
  <c r="A271" i="9"/>
  <c r="B271" i="9"/>
  <c r="C271" i="9"/>
  <c r="A272" i="9"/>
  <c r="B272" i="9"/>
  <c r="C272" i="9"/>
  <c r="A273" i="9"/>
  <c r="B273" i="9"/>
  <c r="C273" i="9"/>
  <c r="A274" i="9"/>
  <c r="B274" i="9"/>
  <c r="C274" i="9"/>
  <c r="A275" i="9"/>
  <c r="B275" i="9"/>
  <c r="C275" i="9"/>
  <c r="A276" i="9"/>
  <c r="B276" i="9"/>
  <c r="C276" i="9"/>
  <c r="A277" i="9"/>
  <c r="B277" i="9"/>
  <c r="C277" i="9"/>
  <c r="A278" i="9"/>
  <c r="B278" i="9"/>
  <c r="C278" i="9"/>
  <c r="A279" i="9"/>
  <c r="B279" i="9"/>
  <c r="C279" i="9"/>
  <c r="A280" i="9"/>
  <c r="B280" i="9"/>
  <c r="C280" i="9"/>
  <c r="A281" i="9"/>
  <c r="B281" i="9"/>
  <c r="C281" i="9"/>
  <c r="A282" i="9"/>
  <c r="B282" i="9"/>
  <c r="C282" i="9"/>
  <c r="A283" i="9"/>
  <c r="B283" i="9"/>
  <c r="C283" i="9"/>
  <c r="A284" i="9"/>
  <c r="B284" i="9"/>
  <c r="C284" i="9"/>
  <c r="A285" i="9"/>
  <c r="B285" i="9"/>
  <c r="C285" i="9"/>
  <c r="A286" i="9"/>
  <c r="B286" i="9"/>
  <c r="C286" i="9"/>
  <c r="A287" i="9"/>
  <c r="B287" i="9"/>
  <c r="C287" i="9"/>
  <c r="A288" i="9"/>
  <c r="B288" i="9"/>
  <c r="C288" i="9"/>
  <c r="A289" i="9"/>
  <c r="B289" i="9"/>
  <c r="C289" i="9"/>
  <c r="A290" i="9"/>
  <c r="B290" i="9"/>
  <c r="C290" i="9"/>
  <c r="A291" i="9"/>
  <c r="B291" i="9"/>
  <c r="C291" i="9"/>
  <c r="A292" i="9"/>
  <c r="B292" i="9"/>
  <c r="C292" i="9"/>
  <c r="A293" i="9"/>
  <c r="B293" i="9"/>
  <c r="C293" i="9"/>
  <c r="A294" i="9"/>
  <c r="B294" i="9"/>
  <c r="C294" i="9"/>
  <c r="A295" i="9"/>
  <c r="B295" i="9"/>
  <c r="C295" i="9"/>
  <c r="A296" i="9"/>
  <c r="B296" i="9"/>
  <c r="C296" i="9"/>
  <c r="A297" i="9"/>
  <c r="B297" i="9"/>
  <c r="C297" i="9"/>
  <c r="A298" i="9"/>
  <c r="B298" i="9"/>
  <c r="C298" i="9"/>
  <c r="A299" i="9"/>
  <c r="B299" i="9"/>
  <c r="C299" i="9"/>
  <c r="A300" i="9"/>
  <c r="B300" i="9"/>
  <c r="C300" i="9"/>
  <c r="A301" i="9"/>
  <c r="B301" i="9"/>
  <c r="C301" i="9"/>
  <c r="A302" i="9"/>
  <c r="B302" i="9"/>
  <c r="C302" i="9"/>
  <c r="A303" i="9"/>
  <c r="B303" i="9"/>
  <c r="C303" i="9"/>
  <c r="A304" i="9"/>
  <c r="B304" i="9"/>
  <c r="C304" i="9"/>
  <c r="A305" i="9"/>
  <c r="B305" i="9"/>
  <c r="C305" i="9"/>
  <c r="A306" i="9"/>
  <c r="B306" i="9"/>
  <c r="C306" i="9"/>
  <c r="A307" i="9"/>
  <c r="B307" i="9"/>
  <c r="C307" i="9"/>
  <c r="A308" i="9"/>
  <c r="B308" i="9"/>
  <c r="C308" i="9"/>
  <c r="A309" i="9"/>
  <c r="B309" i="9"/>
  <c r="C309" i="9"/>
  <c r="A310" i="9"/>
  <c r="B310" i="9"/>
  <c r="C310" i="9"/>
  <c r="A311" i="9"/>
  <c r="B311" i="9"/>
  <c r="C311" i="9"/>
  <c r="A312" i="9"/>
  <c r="B312" i="9"/>
  <c r="C312" i="9"/>
  <c r="A313" i="9"/>
  <c r="B313" i="9"/>
  <c r="C313" i="9"/>
  <c r="A314" i="9"/>
  <c r="B314" i="9"/>
  <c r="C314" i="9"/>
  <c r="A315" i="9"/>
  <c r="B315" i="9"/>
  <c r="C315" i="9"/>
  <c r="A316" i="9"/>
  <c r="B316" i="9"/>
  <c r="C316" i="9"/>
  <c r="A317" i="9"/>
  <c r="B317" i="9"/>
  <c r="C317" i="9"/>
  <c r="A318" i="9"/>
  <c r="B318" i="9"/>
  <c r="C318" i="9"/>
  <c r="A319" i="9"/>
  <c r="B319" i="9"/>
  <c r="C319" i="9"/>
  <c r="A320" i="9"/>
  <c r="B320" i="9"/>
  <c r="C320" i="9"/>
  <c r="A321" i="9"/>
  <c r="B321" i="9"/>
  <c r="C321" i="9"/>
  <c r="A322" i="9"/>
  <c r="B322" i="9"/>
  <c r="C322" i="9"/>
  <c r="A323" i="9"/>
  <c r="B323" i="9"/>
  <c r="C323" i="9"/>
  <c r="A324" i="9"/>
  <c r="B324" i="9"/>
  <c r="C324" i="9"/>
  <c r="A325" i="9"/>
  <c r="B325" i="9"/>
  <c r="C325" i="9"/>
  <c r="A326" i="9"/>
  <c r="B326" i="9"/>
  <c r="C326" i="9"/>
  <c r="A327" i="9"/>
  <c r="B327" i="9"/>
  <c r="C327" i="9"/>
  <c r="A328" i="9"/>
  <c r="B328" i="9"/>
  <c r="C328" i="9"/>
  <c r="A329" i="9"/>
  <c r="B329" i="9"/>
  <c r="C329" i="9"/>
  <c r="A330" i="9"/>
  <c r="B330" i="9"/>
  <c r="C330" i="9"/>
  <c r="A331" i="9"/>
  <c r="B331" i="9"/>
  <c r="C331" i="9"/>
  <c r="A332" i="9"/>
  <c r="B332" i="9"/>
  <c r="C332" i="9"/>
  <c r="A333" i="9"/>
  <c r="B333" i="9"/>
  <c r="C333" i="9"/>
  <c r="A334" i="9"/>
  <c r="B334" i="9"/>
  <c r="C334" i="9"/>
  <c r="A335" i="9"/>
  <c r="B335" i="9"/>
  <c r="C335" i="9"/>
  <c r="A336" i="9"/>
  <c r="B336" i="9"/>
  <c r="C336" i="9"/>
  <c r="A337" i="9"/>
  <c r="B337" i="9"/>
  <c r="C337" i="9"/>
  <c r="A338" i="9"/>
  <c r="B338" i="9"/>
  <c r="C338" i="9"/>
  <c r="A339" i="9"/>
  <c r="B339" i="9"/>
  <c r="C339" i="9"/>
  <c r="A340" i="9"/>
  <c r="B340" i="9"/>
  <c r="C340" i="9"/>
  <c r="A341" i="9"/>
  <c r="B341" i="9"/>
  <c r="C341" i="9"/>
  <c r="A342" i="9"/>
  <c r="B342" i="9"/>
  <c r="C342" i="9"/>
  <c r="A343" i="9"/>
  <c r="B343" i="9"/>
  <c r="C343" i="9"/>
  <c r="A344" i="9"/>
  <c r="B344" i="9"/>
  <c r="C344" i="9"/>
  <c r="A345" i="9"/>
  <c r="B345" i="9"/>
  <c r="C345" i="9"/>
  <c r="A346" i="9"/>
  <c r="B346" i="9"/>
  <c r="C346" i="9"/>
  <c r="A347" i="9"/>
  <c r="B347" i="9"/>
  <c r="C347" i="9"/>
  <c r="A348" i="9"/>
  <c r="B348" i="9"/>
  <c r="C348" i="9"/>
  <c r="A349" i="9"/>
  <c r="B349" i="9"/>
  <c r="C349" i="9"/>
  <c r="A350" i="9"/>
  <c r="B350" i="9"/>
  <c r="C350" i="9"/>
  <c r="A351" i="9"/>
  <c r="B351" i="9"/>
  <c r="C351" i="9"/>
  <c r="A352" i="9"/>
  <c r="B352" i="9"/>
  <c r="C352" i="9"/>
  <c r="A353" i="9"/>
  <c r="B353" i="9"/>
  <c r="C353" i="9"/>
  <c r="A354" i="9"/>
  <c r="B354" i="9"/>
  <c r="C354" i="9"/>
  <c r="A355" i="9"/>
  <c r="B355" i="9"/>
  <c r="C355" i="9"/>
  <c r="A356" i="9"/>
  <c r="B356" i="9"/>
  <c r="C356" i="9"/>
  <c r="A357" i="9"/>
  <c r="B357" i="9"/>
  <c r="C357" i="9"/>
  <c r="A358" i="9"/>
  <c r="B358" i="9"/>
  <c r="C358" i="9"/>
  <c r="A359" i="9"/>
  <c r="B359" i="9"/>
  <c r="C359" i="9"/>
  <c r="A360" i="9"/>
  <c r="B360" i="9"/>
  <c r="C360" i="9"/>
  <c r="A361" i="9"/>
  <c r="B361" i="9"/>
  <c r="C361" i="9"/>
  <c r="A362" i="9"/>
  <c r="B362" i="9"/>
  <c r="C362" i="9"/>
  <c r="A363" i="9"/>
  <c r="B363" i="9"/>
  <c r="C363" i="9"/>
  <c r="A364" i="9"/>
  <c r="B364" i="9"/>
  <c r="C364" i="9"/>
  <c r="A365" i="9"/>
  <c r="B365" i="9"/>
  <c r="C365" i="9"/>
  <c r="A366" i="9"/>
  <c r="B366" i="9"/>
  <c r="C366" i="9"/>
  <c r="A367" i="9"/>
  <c r="B367" i="9"/>
  <c r="C367" i="9"/>
  <c r="A368" i="9"/>
  <c r="B368" i="9"/>
  <c r="C368" i="9"/>
  <c r="A369" i="9"/>
  <c r="B369" i="9"/>
  <c r="C369" i="9"/>
  <c r="A370" i="9"/>
  <c r="B370" i="9"/>
  <c r="C370" i="9"/>
  <c r="A371" i="9"/>
  <c r="B371" i="9"/>
  <c r="C371" i="9"/>
  <c r="A372" i="9"/>
  <c r="B372" i="9"/>
  <c r="C372" i="9"/>
  <c r="A373" i="9"/>
  <c r="B373" i="9"/>
  <c r="C373" i="9"/>
  <c r="A374" i="9"/>
  <c r="B374" i="9"/>
  <c r="C374" i="9"/>
  <c r="A375" i="9"/>
  <c r="B375" i="9"/>
  <c r="C375" i="9"/>
  <c r="A376" i="9"/>
  <c r="B376" i="9"/>
  <c r="C376" i="9"/>
  <c r="A377" i="9"/>
  <c r="B377" i="9"/>
  <c r="C377" i="9"/>
  <c r="A378" i="9"/>
  <c r="B378" i="9"/>
  <c r="C378" i="9"/>
  <c r="A379" i="9"/>
  <c r="B379" i="9"/>
  <c r="C379" i="9"/>
  <c r="A380" i="9"/>
  <c r="B380" i="9"/>
  <c r="C380" i="9"/>
  <c r="A381" i="9"/>
  <c r="B381" i="9"/>
  <c r="C381" i="9"/>
  <c r="A382" i="9"/>
  <c r="B382" i="9"/>
  <c r="C382" i="9"/>
  <c r="A383" i="9"/>
  <c r="B383" i="9"/>
  <c r="C383" i="9"/>
  <c r="A384" i="9"/>
  <c r="B384" i="9"/>
  <c r="C384" i="9"/>
  <c r="A385" i="9"/>
  <c r="B385" i="9"/>
  <c r="C385" i="9"/>
  <c r="A386" i="9"/>
  <c r="B386" i="9"/>
  <c r="C386" i="9"/>
  <c r="A387" i="9"/>
  <c r="B387" i="9"/>
  <c r="C387" i="9"/>
  <c r="A388" i="9"/>
  <c r="B388" i="9"/>
  <c r="C388" i="9"/>
  <c r="A389" i="9"/>
  <c r="B389" i="9"/>
  <c r="C389" i="9"/>
  <c r="A390" i="9"/>
  <c r="B390" i="9"/>
  <c r="C390" i="9"/>
  <c r="A391" i="9"/>
  <c r="B391" i="9"/>
  <c r="C391" i="9"/>
  <c r="A392" i="9"/>
  <c r="B392" i="9"/>
  <c r="C392" i="9"/>
  <c r="A393" i="9"/>
  <c r="B393" i="9"/>
  <c r="C393" i="9"/>
  <c r="A394" i="9"/>
  <c r="B394" i="9"/>
  <c r="C394" i="9"/>
  <c r="A395" i="9"/>
  <c r="B395" i="9"/>
  <c r="C395" i="9"/>
  <c r="A396" i="9"/>
  <c r="B396" i="9"/>
  <c r="C396" i="9"/>
  <c r="A397" i="9"/>
  <c r="B397" i="9"/>
  <c r="C397" i="9"/>
  <c r="A398" i="9"/>
  <c r="B398" i="9"/>
  <c r="C398" i="9"/>
  <c r="A399" i="9"/>
  <c r="B399" i="9"/>
  <c r="C399" i="9"/>
  <c r="A400" i="9"/>
  <c r="B400" i="9"/>
  <c r="C400" i="9"/>
  <c r="A401" i="9"/>
  <c r="B401" i="9"/>
  <c r="C401" i="9"/>
  <c r="A402" i="9"/>
  <c r="B402" i="9"/>
  <c r="C402" i="9"/>
  <c r="A403" i="9"/>
  <c r="B403" i="9"/>
  <c r="C403" i="9"/>
  <c r="A404" i="9"/>
  <c r="B404" i="9"/>
  <c r="C404" i="9"/>
  <c r="A405" i="9"/>
  <c r="B405" i="9"/>
  <c r="C405" i="9"/>
  <c r="A406" i="9"/>
  <c r="B406" i="9"/>
  <c r="C406" i="9"/>
  <c r="A407" i="9"/>
  <c r="B407" i="9"/>
  <c r="C407" i="9"/>
  <c r="A408" i="9"/>
  <c r="B408" i="9"/>
  <c r="C408" i="9"/>
  <c r="A409" i="9"/>
  <c r="B409" i="9"/>
  <c r="C409" i="9"/>
  <c r="A410" i="9"/>
  <c r="B410" i="9"/>
  <c r="C410" i="9"/>
  <c r="A411" i="9"/>
  <c r="B411" i="9"/>
  <c r="C411" i="9"/>
  <c r="A412" i="9"/>
  <c r="B412" i="9"/>
  <c r="C412" i="9"/>
  <c r="A413" i="9"/>
  <c r="B413" i="9"/>
  <c r="C413" i="9"/>
  <c r="A414" i="9"/>
  <c r="B414" i="9"/>
  <c r="C414" i="9"/>
  <c r="A415" i="9"/>
  <c r="B415" i="9"/>
  <c r="C415" i="9"/>
  <c r="A416" i="9"/>
  <c r="B416" i="9"/>
  <c r="C416" i="9"/>
  <c r="A417" i="9"/>
  <c r="B417" i="9"/>
  <c r="C417" i="9"/>
  <c r="A418" i="9"/>
  <c r="B418" i="9"/>
  <c r="C418" i="9"/>
  <c r="A419" i="9"/>
  <c r="B419" i="9"/>
  <c r="C419" i="9"/>
  <c r="A420" i="9"/>
  <c r="B420" i="9"/>
  <c r="C420" i="9"/>
  <c r="A421" i="9"/>
  <c r="B421" i="9"/>
  <c r="C421" i="9"/>
  <c r="A422" i="9"/>
  <c r="B422" i="9"/>
  <c r="C422" i="9"/>
  <c r="A423" i="9"/>
  <c r="B423" i="9"/>
  <c r="C423" i="9"/>
  <c r="A424" i="9"/>
  <c r="B424" i="9"/>
  <c r="C424" i="9"/>
  <c r="A425" i="9"/>
  <c r="B425" i="9"/>
  <c r="C425" i="9"/>
  <c r="A426" i="9"/>
  <c r="B426" i="9"/>
  <c r="C426" i="9"/>
  <c r="A427" i="9"/>
  <c r="B427" i="9"/>
  <c r="C427" i="9"/>
  <c r="A428" i="9"/>
  <c r="B428" i="9"/>
  <c r="C428" i="9"/>
  <c r="A429" i="9"/>
  <c r="B429" i="9"/>
  <c r="C429" i="9"/>
  <c r="A430" i="9"/>
  <c r="B430" i="9"/>
  <c r="C430" i="9"/>
  <c r="A431" i="9"/>
  <c r="B431" i="9"/>
  <c r="C431" i="9"/>
  <c r="A432" i="9"/>
  <c r="B432" i="9"/>
  <c r="C432" i="9"/>
  <c r="A433" i="9"/>
  <c r="B433" i="9"/>
  <c r="C433" i="9"/>
  <c r="A434" i="9"/>
  <c r="B434" i="9"/>
  <c r="C434" i="9"/>
  <c r="C1" i="9"/>
  <c r="B1" i="9"/>
  <c r="A1" i="9"/>
  <c r="B1" i="7"/>
  <c r="B2" i="7"/>
  <c r="E2" i="7" s="1"/>
  <c r="B3" i="7"/>
  <c r="B4" i="7"/>
  <c r="B9" i="7"/>
  <c r="B6" i="7"/>
  <c r="E6" i="7" s="1"/>
  <c r="B5" i="7"/>
  <c r="B21" i="7"/>
  <c r="B20" i="7"/>
  <c r="B15" i="7"/>
  <c r="E15" i="7" s="1"/>
  <c r="B11" i="7"/>
  <c r="B16" i="7"/>
  <c r="B7" i="7"/>
  <c r="B12" i="7"/>
  <c r="E12" i="7" s="1"/>
  <c r="B14" i="7"/>
  <c r="B59" i="7"/>
  <c r="B280" i="7"/>
  <c r="B17" i="7"/>
  <c r="E17" i="7" s="1"/>
  <c r="B46" i="7"/>
  <c r="B29" i="7"/>
  <c r="B64" i="7"/>
  <c r="B19" i="7"/>
  <c r="E19" i="7" s="1"/>
  <c r="B281" i="7"/>
  <c r="B31" i="7"/>
  <c r="B38" i="7"/>
  <c r="B18" i="7"/>
  <c r="E18" i="7" s="1"/>
  <c r="B8" i="7"/>
  <c r="B24" i="7"/>
  <c r="B282" i="7"/>
  <c r="B39" i="7"/>
  <c r="E39" i="7" s="1"/>
  <c r="B45" i="7"/>
  <c r="B23" i="7"/>
  <c r="B34" i="7"/>
  <c r="B35" i="7"/>
  <c r="E35" i="7" s="1"/>
  <c r="B27" i="7"/>
  <c r="B50" i="7"/>
  <c r="B48" i="7"/>
  <c r="B47" i="7"/>
  <c r="E47" i="7" s="1"/>
  <c r="B26" i="7"/>
  <c r="B13" i="7"/>
  <c r="B97" i="7"/>
  <c r="B28" i="7"/>
  <c r="E28" i="7" s="1"/>
  <c r="B10" i="7"/>
  <c r="B53" i="7"/>
  <c r="B22" i="7"/>
  <c r="B283" i="7"/>
  <c r="E283" i="7" s="1"/>
  <c r="B67" i="7"/>
  <c r="B42" i="7"/>
  <c r="B71" i="7"/>
  <c r="B52" i="7"/>
  <c r="E52" i="7" s="1"/>
  <c r="B36" i="7"/>
  <c r="B284" i="7"/>
  <c r="B30" i="7"/>
  <c r="B33" i="7"/>
  <c r="E33" i="7" s="1"/>
  <c r="B74" i="7"/>
  <c r="B285" i="7"/>
  <c r="B61" i="7"/>
  <c r="B49" i="7"/>
  <c r="E49" i="7" s="1"/>
  <c r="B112" i="7"/>
  <c r="B44" i="7"/>
  <c r="B286" i="7"/>
  <c r="B93" i="7"/>
  <c r="E93" i="7" s="1"/>
  <c r="B287" i="7"/>
  <c r="B288" i="7"/>
  <c r="B131" i="7"/>
  <c r="B57" i="7"/>
  <c r="E57" i="7" s="1"/>
  <c r="B78" i="7"/>
  <c r="B104" i="7"/>
  <c r="B62" i="7"/>
  <c r="B32" i="7"/>
  <c r="E32" i="7" s="1"/>
  <c r="B109" i="7"/>
  <c r="B69" i="7"/>
  <c r="B289" i="7"/>
  <c r="B76" i="7"/>
  <c r="E76" i="7" s="1"/>
  <c r="B63" i="7"/>
  <c r="B60" i="7"/>
  <c r="B115" i="7"/>
  <c r="B65" i="7"/>
  <c r="E65" i="7" s="1"/>
  <c r="B66" i="7"/>
  <c r="B55" i="7"/>
  <c r="B40" i="7"/>
  <c r="B41" i="7"/>
  <c r="E41" i="7" s="1"/>
  <c r="B51" i="7"/>
  <c r="B103" i="7"/>
  <c r="B290" i="7"/>
  <c r="B291" i="7"/>
  <c r="E291" i="7" s="1"/>
  <c r="B54" i="7"/>
  <c r="B120" i="7"/>
  <c r="B105" i="7"/>
  <c r="B73" i="7"/>
  <c r="E73" i="7" s="1"/>
  <c r="B111" i="7"/>
  <c r="B124" i="7"/>
  <c r="B196" i="7"/>
  <c r="B100" i="7"/>
  <c r="E100" i="7" s="1"/>
  <c r="B72" i="7"/>
  <c r="B85" i="7"/>
  <c r="B154" i="7"/>
  <c r="B292" i="7"/>
  <c r="E292" i="7" s="1"/>
  <c r="B123" i="7"/>
  <c r="B56" i="7"/>
  <c r="B140" i="7"/>
  <c r="B75" i="7"/>
  <c r="E75" i="7" s="1"/>
  <c r="B43" i="7"/>
  <c r="B84" i="7"/>
  <c r="B88" i="7"/>
  <c r="B293" i="7"/>
  <c r="E293" i="7" s="1"/>
  <c r="B117" i="7"/>
  <c r="B134" i="7"/>
  <c r="B294" i="7"/>
  <c r="B90" i="7"/>
  <c r="E90" i="7" s="1"/>
  <c r="B98" i="7"/>
  <c r="B80" i="7"/>
  <c r="B135" i="7"/>
  <c r="B87" i="7"/>
  <c r="E87" i="7" s="1"/>
  <c r="B118" i="7"/>
  <c r="B82" i="7"/>
  <c r="B58" i="7"/>
  <c r="B37" i="7"/>
  <c r="E37" i="7" s="1"/>
  <c r="B126" i="7"/>
  <c r="B295" i="7"/>
  <c r="B83" i="7"/>
  <c r="B25" i="7"/>
  <c r="B136" i="7"/>
  <c r="B201" i="7"/>
  <c r="B296" i="7"/>
  <c r="B106" i="7"/>
  <c r="B297" i="7"/>
  <c r="B127" i="7"/>
  <c r="B298" i="7"/>
  <c r="B299" i="7"/>
  <c r="E299" i="7" s="1"/>
  <c r="B171" i="7"/>
  <c r="B150" i="7"/>
  <c r="B86" i="7"/>
  <c r="B107" i="7"/>
  <c r="B300" i="7"/>
  <c r="B99" i="7"/>
  <c r="B191" i="7"/>
  <c r="B137" i="7"/>
  <c r="B125" i="7"/>
  <c r="B161" i="7"/>
  <c r="B151" i="7"/>
  <c r="B178" i="7"/>
  <c r="B102" i="7"/>
  <c r="B146" i="7"/>
  <c r="B94" i="7"/>
  <c r="B301" i="7"/>
  <c r="E301" i="7" s="1"/>
  <c r="B156" i="7"/>
  <c r="B92" i="7"/>
  <c r="B89" i="7"/>
  <c r="B68" i="7"/>
  <c r="B119" i="7"/>
  <c r="B153" i="7"/>
  <c r="B133" i="7"/>
  <c r="B209" i="7"/>
  <c r="B157" i="7"/>
  <c r="B128" i="7"/>
  <c r="B79" i="7"/>
  <c r="B70" i="7"/>
  <c r="B302" i="7"/>
  <c r="B303" i="7"/>
  <c r="B110" i="7"/>
  <c r="B180" i="7"/>
  <c r="E180" i="7" s="1"/>
  <c r="B211" i="7"/>
  <c r="B227" i="7"/>
  <c r="B193" i="7"/>
  <c r="B222" i="7"/>
  <c r="B207" i="7"/>
  <c r="B304" i="7"/>
  <c r="B160" i="7"/>
  <c r="B305" i="7"/>
  <c r="B243" i="7"/>
  <c r="B129" i="7"/>
  <c r="B95" i="7"/>
  <c r="B101" i="7"/>
  <c r="B147" i="7"/>
  <c r="B145" i="7"/>
  <c r="B143" i="7"/>
  <c r="B166" i="7"/>
  <c r="E166" i="7" s="1"/>
  <c r="B176" i="7"/>
  <c r="B264" i="7"/>
  <c r="B263" i="7"/>
  <c r="B142" i="7"/>
  <c r="B77" i="7"/>
  <c r="B306" i="7"/>
  <c r="B194" i="7"/>
  <c r="B183" i="7"/>
  <c r="B113" i="7"/>
  <c r="B221" i="7"/>
  <c r="B144" i="7"/>
  <c r="B152" i="7"/>
  <c r="B307" i="7"/>
  <c r="B108" i="7"/>
  <c r="B167" i="7"/>
  <c r="B132" i="7"/>
  <c r="E132" i="7" s="1"/>
  <c r="B184" i="7"/>
  <c r="B162" i="7"/>
  <c r="B168" i="7"/>
  <c r="B308" i="7"/>
  <c r="B81" i="7"/>
  <c r="B247" i="7"/>
  <c r="B309" i="7"/>
  <c r="B114" i="7"/>
  <c r="B148" i="7"/>
  <c r="B138" i="7"/>
  <c r="B149" i="7"/>
  <c r="B310" i="7"/>
  <c r="B159" i="7"/>
  <c r="B116" i="7"/>
  <c r="B174" i="7"/>
  <c r="B155" i="7"/>
  <c r="E155" i="7" s="1"/>
  <c r="B220" i="7"/>
  <c r="B198" i="7"/>
  <c r="B172" i="7"/>
  <c r="B311" i="7"/>
  <c r="B312" i="7"/>
  <c r="B210" i="7"/>
  <c r="B96" i="7"/>
  <c r="B212" i="7"/>
  <c r="B190" i="7"/>
  <c r="B175" i="7"/>
  <c r="B199" i="7"/>
  <c r="B271" i="7"/>
  <c r="B186" i="7"/>
  <c r="B205" i="7"/>
  <c r="B164" i="7"/>
  <c r="B185" i="7"/>
  <c r="E185" i="7" s="1"/>
  <c r="B313" i="7"/>
  <c r="B121" i="7"/>
  <c r="B314" i="7"/>
  <c r="B188" i="7"/>
  <c r="B177" i="7"/>
  <c r="B315" i="7"/>
  <c r="B226" i="7"/>
  <c r="B316" i="7"/>
  <c r="B200" i="7"/>
  <c r="B202" i="7"/>
  <c r="E202" i="7" s="1"/>
  <c r="B317" i="7"/>
  <c r="B215" i="7"/>
  <c r="E215" i="7" s="1"/>
  <c r="B219" i="7"/>
  <c r="B318" i="7"/>
  <c r="E318" i="7" s="1"/>
  <c r="B91" i="7"/>
  <c r="B216" i="7"/>
  <c r="B267" i="7"/>
  <c r="B244" i="7"/>
  <c r="E244" i="7" s="1"/>
  <c r="B182" i="7"/>
  <c r="B319" i="7"/>
  <c r="E319" i="7" s="1"/>
  <c r="B192" i="7"/>
  <c r="B141" i="7"/>
  <c r="E141" i="7" s="1"/>
  <c r="B320" i="7"/>
  <c r="B321" i="7"/>
  <c r="B179" i="7"/>
  <c r="B258" i="7"/>
  <c r="E258" i="7" s="1"/>
  <c r="B322" i="7"/>
  <c r="B323" i="7"/>
  <c r="E323" i="7" s="1"/>
  <c r="B277" i="7"/>
  <c r="B324" i="7"/>
  <c r="E324" i="7" s="1"/>
  <c r="B325" i="7"/>
  <c r="B250" i="7"/>
  <c r="B326" i="7"/>
  <c r="B327" i="7"/>
  <c r="E327" i="7" s="1"/>
  <c r="B328" i="7"/>
  <c r="B329" i="7"/>
  <c r="E329" i="7" s="1"/>
  <c r="B278" i="7"/>
  <c r="B330" i="7"/>
  <c r="E330" i="7" s="1"/>
  <c r="B331" i="7"/>
  <c r="B332" i="7"/>
  <c r="B333" i="7"/>
  <c r="B268" i="7"/>
  <c r="E268" i="7" s="1"/>
  <c r="B334" i="7"/>
  <c r="B223" i="7"/>
  <c r="E223" i="7" s="1"/>
  <c r="B274" i="7"/>
  <c r="B335" i="7"/>
  <c r="E335" i="7" s="1"/>
  <c r="B231" i="7"/>
  <c r="B336" i="7"/>
  <c r="B165" i="7"/>
  <c r="B337" i="7"/>
  <c r="E337" i="7" s="1"/>
  <c r="B208" i="7"/>
  <c r="B338" i="7"/>
  <c r="E338" i="7" s="1"/>
  <c r="B203" i="7"/>
  <c r="B224" i="7"/>
  <c r="E224" i="7" s="1"/>
  <c r="B339" i="7"/>
  <c r="B340" i="7"/>
  <c r="B228" i="7"/>
  <c r="B255" i="7"/>
  <c r="E255" i="7" s="1"/>
  <c r="B341" i="7"/>
  <c r="B342" i="7"/>
  <c r="E342" i="7" s="1"/>
  <c r="B269" i="7"/>
  <c r="B270" i="7"/>
  <c r="E270" i="7" s="1"/>
  <c r="B257" i="7"/>
  <c r="B173" i="7"/>
  <c r="B245" i="7"/>
  <c r="B169" i="7"/>
  <c r="E169" i="7" s="1"/>
  <c r="B343" i="7"/>
  <c r="B344" i="7"/>
  <c r="E344" i="7" s="1"/>
  <c r="B345" i="7"/>
  <c r="B346" i="7"/>
  <c r="E346" i="7" s="1"/>
  <c r="B347" i="7"/>
  <c r="B348" i="7"/>
  <c r="B349" i="7"/>
  <c r="B139" i="7"/>
  <c r="E139" i="7" s="1"/>
  <c r="B236" i="7"/>
  <c r="B225" i="7"/>
  <c r="E225" i="7" s="1"/>
  <c r="B262" i="7"/>
  <c r="B252" i="7"/>
  <c r="E252" i="7" s="1"/>
  <c r="B266" i="7"/>
  <c r="B350" i="7"/>
  <c r="B351" i="7"/>
  <c r="B352" i="7"/>
  <c r="E352" i="7" s="1"/>
  <c r="B240" i="7"/>
  <c r="B251" i="7"/>
  <c r="E251" i="7" s="1"/>
  <c r="B353" i="7"/>
  <c r="B235" i="7"/>
  <c r="E235" i="7" s="1"/>
  <c r="B241" i="7"/>
  <c r="B354" i="7"/>
  <c r="B253" i="7"/>
  <c r="B355" i="7"/>
  <c r="E355" i="7" s="1"/>
  <c r="B238" i="7"/>
  <c r="E238" i="7" s="1"/>
  <c r="B272" i="7"/>
  <c r="B356" i="7"/>
  <c r="B242" i="7"/>
  <c r="E242" i="7" s="1"/>
  <c r="B249" i="7"/>
  <c r="B357" i="7"/>
  <c r="E357" i="7" s="1"/>
  <c r="B358" i="7"/>
  <c r="B359" i="7"/>
  <c r="B360" i="7"/>
  <c r="B361" i="7"/>
  <c r="B362" i="7"/>
  <c r="B363" i="7"/>
  <c r="E363" i="7" s="1"/>
  <c r="B364" i="7"/>
  <c r="B365" i="7"/>
  <c r="B170" i="7"/>
  <c r="B234" i="7"/>
  <c r="B213" i="7"/>
  <c r="E213" i="7" s="1"/>
  <c r="B366" i="7"/>
  <c r="B367" i="7"/>
  <c r="B368" i="7"/>
  <c r="B369" i="7"/>
  <c r="B370" i="7"/>
  <c r="E370" i="7" s="1"/>
  <c r="B229" i="7"/>
  <c r="B371" i="7"/>
  <c r="B372" i="7"/>
  <c r="B217" i="7"/>
  <c r="B373" i="7"/>
  <c r="E373" i="7" s="1"/>
  <c r="B214" i="7"/>
  <c r="B189" i="7"/>
  <c r="B279" i="7"/>
  <c r="B374" i="7"/>
  <c r="E374" i="7" s="1"/>
  <c r="B206" i="7"/>
  <c r="B232" i="7"/>
  <c r="B375" i="7"/>
  <c r="B376" i="7"/>
  <c r="E376" i="7" s="1"/>
  <c r="B377" i="7"/>
  <c r="B181" i="7"/>
  <c r="B254" i="7"/>
  <c r="B275" i="7"/>
  <c r="E275" i="7" s="1"/>
  <c r="B378" i="7"/>
  <c r="B379" i="7"/>
  <c r="B380" i="7"/>
  <c r="B381" i="7"/>
  <c r="E381" i="7" s="1"/>
  <c r="B382" i="7"/>
  <c r="B237" i="7"/>
  <c r="B383" i="7"/>
  <c r="B384" i="7"/>
  <c r="E384" i="7" s="1"/>
  <c r="B122" i="7"/>
  <c r="B385" i="7"/>
  <c r="B204" i="7"/>
  <c r="B386" i="7"/>
  <c r="E386" i="7" s="1"/>
  <c r="B276" i="7"/>
  <c r="B387" i="7"/>
  <c r="B388" i="7"/>
  <c r="B256" i="7"/>
  <c r="E256" i="7" s="1"/>
  <c r="B261" i="7"/>
  <c r="B389" i="7"/>
  <c r="B390" i="7"/>
  <c r="B197" i="7"/>
  <c r="E197" i="7" s="1"/>
  <c r="B391" i="7"/>
  <c r="B260" i="7"/>
  <c r="B392" i="7"/>
  <c r="B393" i="7"/>
  <c r="E393" i="7" s="1"/>
  <c r="B394" i="7"/>
  <c r="B395" i="7"/>
  <c r="B239" i="7"/>
  <c r="B396" i="7"/>
  <c r="E396" i="7" s="1"/>
  <c r="B187" i="7"/>
  <c r="B397" i="7"/>
  <c r="B230" i="7"/>
  <c r="B163" i="7"/>
  <c r="E163" i="7" s="1"/>
  <c r="B273" i="7"/>
  <c r="B398" i="7"/>
  <c r="B399" i="7"/>
  <c r="B259" i="7"/>
  <c r="E259" i="7" s="1"/>
  <c r="B233" i="7"/>
  <c r="B158" i="7"/>
  <c r="B400" i="7"/>
  <c r="B248" i="7"/>
  <c r="E248" i="7" s="1"/>
  <c r="B401" i="7"/>
  <c r="B265" i="7"/>
  <c r="B402" i="7"/>
  <c r="B403" i="7"/>
  <c r="E403" i="7" s="1"/>
  <c r="B130" i="7"/>
  <c r="B404" i="7"/>
  <c r="B405" i="7"/>
  <c r="B246" i="7"/>
  <c r="E246" i="7" s="1"/>
  <c r="B406" i="7"/>
  <c r="B407" i="7"/>
  <c r="B218" i="7"/>
  <c r="B195" i="7"/>
  <c r="E195" i="7" s="1"/>
  <c r="A4" i="7"/>
  <c r="D5" i="2" s="1"/>
  <c r="A9" i="7"/>
  <c r="A6" i="7"/>
  <c r="D7" i="2" s="1"/>
  <c r="A5" i="7"/>
  <c r="D8" i="2" s="1"/>
  <c r="A21" i="7"/>
  <c r="A20" i="7"/>
  <c r="D10" i="2" s="1"/>
  <c r="A15" i="7"/>
  <c r="D11" i="2" s="1"/>
  <c r="A11" i="7"/>
  <c r="D12" i="2" s="1"/>
  <c r="A16" i="7"/>
  <c r="A7" i="7"/>
  <c r="A12" i="7"/>
  <c r="D15" i="2" s="1"/>
  <c r="A14" i="7"/>
  <c r="A59" i="7"/>
  <c r="D17" i="2" s="1"/>
  <c r="A280" i="7"/>
  <c r="A17" i="7"/>
  <c r="A46" i="7"/>
  <c r="A29" i="7"/>
  <c r="D21" i="2" s="1"/>
  <c r="A64" i="7"/>
  <c r="A19" i="7"/>
  <c r="D23" i="2" s="1"/>
  <c r="A281" i="7"/>
  <c r="A31" i="7"/>
  <c r="A38" i="7"/>
  <c r="A18" i="7"/>
  <c r="D27" i="2" s="1"/>
  <c r="A8" i="7"/>
  <c r="A24" i="7"/>
  <c r="A282" i="7"/>
  <c r="A39" i="7"/>
  <c r="D31" i="2" s="1"/>
  <c r="A45" i="7"/>
  <c r="A23" i="7"/>
  <c r="A34" i="7"/>
  <c r="A35" i="7"/>
  <c r="D35" i="2" s="1"/>
  <c r="A27" i="7"/>
  <c r="A50" i="7"/>
  <c r="A48" i="7"/>
  <c r="A47" i="7"/>
  <c r="D39" i="2" s="1"/>
  <c r="A26" i="7"/>
  <c r="A13" i="7"/>
  <c r="D41" i="2" s="1"/>
  <c r="A97" i="7"/>
  <c r="A28" i="7"/>
  <c r="D43" i="2" s="1"/>
  <c r="A10" i="7"/>
  <c r="A53" i="7"/>
  <c r="A22" i="7"/>
  <c r="A283" i="7"/>
  <c r="D47" i="2" s="1"/>
  <c r="A67" i="7"/>
  <c r="A42" i="7"/>
  <c r="D49" i="2" s="1"/>
  <c r="A71" i="7"/>
  <c r="A52" i="7"/>
  <c r="D51" i="2" s="1"/>
  <c r="A36" i="7"/>
  <c r="A284" i="7"/>
  <c r="A30" i="7"/>
  <c r="A33" i="7"/>
  <c r="D55" i="2" s="1"/>
  <c r="A74" i="7"/>
  <c r="A285" i="7"/>
  <c r="A61" i="7"/>
  <c r="A49" i="7"/>
  <c r="D59" i="2" s="1"/>
  <c r="A112" i="7"/>
  <c r="A44" i="7"/>
  <c r="A286" i="7"/>
  <c r="D62" i="2" s="1"/>
  <c r="A93" i="7"/>
  <c r="D63" i="2" s="1"/>
  <c r="A287" i="7"/>
  <c r="A288" i="7"/>
  <c r="D65" i="2" s="1"/>
  <c r="A131" i="7"/>
  <c r="A57" i="7"/>
  <c r="D67" i="2" s="1"/>
  <c r="A78" i="7"/>
  <c r="D68" i="2" s="1"/>
  <c r="A104" i="7"/>
  <c r="A62" i="7"/>
  <c r="A32" i="7"/>
  <c r="A109" i="7"/>
  <c r="D72" i="2" s="1"/>
  <c r="A69" i="7"/>
  <c r="A289" i="7"/>
  <c r="A76" i="7"/>
  <c r="D75" i="2" s="1"/>
  <c r="A63" i="7"/>
  <c r="A60" i="7"/>
  <c r="A115" i="7"/>
  <c r="A65" i="7"/>
  <c r="D79" i="2" s="1"/>
  <c r="A66" i="7"/>
  <c r="A55" i="7"/>
  <c r="A40" i="7"/>
  <c r="A41" i="7"/>
  <c r="D83" i="2" s="1"/>
  <c r="A51" i="7"/>
  <c r="D84" i="2" s="1"/>
  <c r="A103" i="7"/>
  <c r="A290" i="7"/>
  <c r="A291" i="7"/>
  <c r="D87" i="2" s="1"/>
  <c r="A54" i="7"/>
  <c r="A120" i="7"/>
  <c r="D89" i="2" s="1"/>
  <c r="A105" i="7"/>
  <c r="A73" i="7"/>
  <c r="D74" i="2" s="1"/>
  <c r="A111" i="7"/>
  <c r="A124" i="7"/>
  <c r="A196" i="7"/>
  <c r="A100" i="7"/>
  <c r="D95" i="2" s="1"/>
  <c r="A72" i="7"/>
  <c r="D96" i="2" s="1"/>
  <c r="A85" i="7"/>
  <c r="D97" i="2" s="1"/>
  <c r="A154" i="7"/>
  <c r="D98" i="2" s="1"/>
  <c r="A292" i="7"/>
  <c r="D99" i="2" s="1"/>
  <c r="A123" i="7"/>
  <c r="A56" i="7"/>
  <c r="A140" i="7"/>
  <c r="A75" i="7"/>
  <c r="A43" i="7"/>
  <c r="A84" i="7"/>
  <c r="A88" i="7"/>
  <c r="A293" i="7"/>
  <c r="A117" i="7"/>
  <c r="A134" i="7"/>
  <c r="A294" i="7"/>
  <c r="A90" i="7"/>
  <c r="A98" i="7"/>
  <c r="A80" i="7"/>
  <c r="A135" i="7"/>
  <c r="A87" i="7"/>
  <c r="A118" i="7"/>
  <c r="A82" i="7"/>
  <c r="A58" i="7"/>
  <c r="A37" i="7"/>
  <c r="A126" i="7"/>
  <c r="A295" i="7"/>
  <c r="A83" i="7"/>
  <c r="A25" i="7"/>
  <c r="A136" i="7"/>
  <c r="A201" i="7"/>
  <c r="A296" i="7"/>
  <c r="A106" i="7"/>
  <c r="A297" i="7"/>
  <c r="A127" i="7"/>
  <c r="A298" i="7"/>
  <c r="A299" i="7"/>
  <c r="A171" i="7"/>
  <c r="A150" i="7"/>
  <c r="A86" i="7"/>
  <c r="A107" i="7"/>
  <c r="A300" i="7"/>
  <c r="A99" i="7"/>
  <c r="A191" i="7"/>
  <c r="A137" i="7"/>
  <c r="A125" i="7"/>
  <c r="A161" i="7"/>
  <c r="A151" i="7"/>
  <c r="A178" i="7"/>
  <c r="A102" i="7"/>
  <c r="A146" i="7"/>
  <c r="A94" i="7"/>
  <c r="A301" i="7"/>
  <c r="A156" i="7"/>
  <c r="A92" i="7"/>
  <c r="A89" i="7"/>
  <c r="A68" i="7"/>
  <c r="A119" i="7"/>
  <c r="A153" i="7"/>
  <c r="A133" i="7"/>
  <c r="A209" i="7"/>
  <c r="A157" i="7"/>
  <c r="A128" i="7"/>
  <c r="A79" i="7"/>
  <c r="A70" i="7"/>
  <c r="A302" i="7"/>
  <c r="A303" i="7"/>
  <c r="A110" i="7"/>
  <c r="A180" i="7"/>
  <c r="A211" i="7"/>
  <c r="A227" i="7"/>
  <c r="A193" i="7"/>
  <c r="A222" i="7"/>
  <c r="A207" i="7"/>
  <c r="A304" i="7"/>
  <c r="A160" i="7"/>
  <c r="A305" i="7"/>
  <c r="A243" i="7"/>
  <c r="A129" i="7"/>
  <c r="A95" i="7"/>
  <c r="A101" i="7"/>
  <c r="A147" i="7"/>
  <c r="A145" i="7"/>
  <c r="A143" i="7"/>
  <c r="A166" i="7"/>
  <c r="A176" i="7"/>
  <c r="A264" i="7"/>
  <c r="A263" i="7"/>
  <c r="A142" i="7"/>
  <c r="A77" i="7"/>
  <c r="A306" i="7"/>
  <c r="A194" i="7"/>
  <c r="A183" i="7"/>
  <c r="A113" i="7"/>
  <c r="A221" i="7"/>
  <c r="A144" i="7"/>
  <c r="A152" i="7"/>
  <c r="A307" i="7"/>
  <c r="A108" i="7"/>
  <c r="A167" i="7"/>
  <c r="A132" i="7"/>
  <c r="A184" i="7"/>
  <c r="A162" i="7"/>
  <c r="A168" i="7"/>
  <c r="A308" i="7"/>
  <c r="A81" i="7"/>
  <c r="A247" i="7"/>
  <c r="A309" i="7"/>
  <c r="A114" i="7"/>
  <c r="A148" i="7"/>
  <c r="A138" i="7"/>
  <c r="A149" i="7"/>
  <c r="A310" i="7"/>
  <c r="A159" i="7"/>
  <c r="A116" i="7"/>
  <c r="A174" i="7"/>
  <c r="A155" i="7"/>
  <c r="A220" i="7"/>
  <c r="A198" i="7"/>
  <c r="A172" i="7"/>
  <c r="A311" i="7"/>
  <c r="A312" i="7"/>
  <c r="A210" i="7"/>
  <c r="A96" i="7"/>
  <c r="A212" i="7"/>
  <c r="A190" i="7"/>
  <c r="A175" i="7"/>
  <c r="A199" i="7"/>
  <c r="A271" i="7"/>
  <c r="A186" i="7"/>
  <c r="A205" i="7"/>
  <c r="A164" i="7"/>
  <c r="A185" i="7"/>
  <c r="A313" i="7"/>
  <c r="A121" i="7"/>
  <c r="A314" i="7"/>
  <c r="A188" i="7"/>
  <c r="A177" i="7"/>
  <c r="A315" i="7"/>
  <c r="A226" i="7"/>
  <c r="A316" i="7"/>
  <c r="A200" i="7"/>
  <c r="A202" i="7"/>
  <c r="A317" i="7"/>
  <c r="A215" i="7"/>
  <c r="A219" i="7"/>
  <c r="A318" i="7"/>
  <c r="A91" i="7"/>
  <c r="A216" i="7"/>
  <c r="A267" i="7"/>
  <c r="A244" i="7"/>
  <c r="A182" i="7"/>
  <c r="A319" i="7"/>
  <c r="A192" i="7"/>
  <c r="A141" i="7"/>
  <c r="A320" i="7"/>
  <c r="A321" i="7"/>
  <c r="A179" i="7"/>
  <c r="A258" i="7"/>
  <c r="A322" i="7"/>
  <c r="A323" i="7"/>
  <c r="A277" i="7"/>
  <c r="A324" i="7"/>
  <c r="A325" i="7"/>
  <c r="A250" i="7"/>
  <c r="A326" i="7"/>
  <c r="A327" i="7"/>
  <c r="A328" i="7"/>
  <c r="A329" i="7"/>
  <c r="A278" i="7"/>
  <c r="A330" i="7"/>
  <c r="A331" i="7"/>
  <c r="A332" i="7"/>
  <c r="A333" i="7"/>
  <c r="A268" i="7"/>
  <c r="A334" i="7"/>
  <c r="A223" i="7"/>
  <c r="A274" i="7"/>
  <c r="A335" i="7"/>
  <c r="A231" i="7"/>
  <c r="A336" i="7"/>
  <c r="A165" i="7"/>
  <c r="A337" i="7"/>
  <c r="A208" i="7"/>
  <c r="A338" i="7"/>
  <c r="A203" i="7"/>
  <c r="A224" i="7"/>
  <c r="A339" i="7"/>
  <c r="A340" i="7"/>
  <c r="A228" i="7"/>
  <c r="A255" i="7"/>
  <c r="A341" i="7"/>
  <c r="A342" i="7"/>
  <c r="A269" i="7"/>
  <c r="A270" i="7"/>
  <c r="A257" i="7"/>
  <c r="A173" i="7"/>
  <c r="A245" i="7"/>
  <c r="A169" i="7"/>
  <c r="A343" i="7"/>
  <c r="A344" i="7"/>
  <c r="A345" i="7"/>
  <c r="A346" i="7"/>
  <c r="A347" i="7"/>
  <c r="A348" i="7"/>
  <c r="A349" i="7"/>
  <c r="A139" i="7"/>
  <c r="A236" i="7"/>
  <c r="A225" i="7"/>
  <c r="A262" i="7"/>
  <c r="A252" i="7"/>
  <c r="A266" i="7"/>
  <c r="A350" i="7"/>
  <c r="A351" i="7"/>
  <c r="A352" i="7"/>
  <c r="A240" i="7"/>
  <c r="A251" i="7"/>
  <c r="A353" i="7"/>
  <c r="A235" i="7"/>
  <c r="A241" i="7"/>
  <c r="A354" i="7"/>
  <c r="A253" i="7"/>
  <c r="A355" i="7"/>
  <c r="A238" i="7"/>
  <c r="A272" i="7"/>
  <c r="A356" i="7"/>
  <c r="A242" i="7"/>
  <c r="A249" i="7"/>
  <c r="A357" i="7"/>
  <c r="A358" i="7"/>
  <c r="A359" i="7"/>
  <c r="A360" i="7"/>
  <c r="A361" i="7"/>
  <c r="A362" i="7"/>
  <c r="A363" i="7"/>
  <c r="A364" i="7"/>
  <c r="A365" i="7"/>
  <c r="A170" i="7"/>
  <c r="A234" i="7"/>
  <c r="A213" i="7"/>
  <c r="A366" i="7"/>
  <c r="A367" i="7"/>
  <c r="A368" i="7"/>
  <c r="A369" i="7"/>
  <c r="A370" i="7"/>
  <c r="A229" i="7"/>
  <c r="A371" i="7"/>
  <c r="A372" i="7"/>
  <c r="A217" i="7"/>
  <c r="A373" i="7"/>
  <c r="A214" i="7"/>
  <c r="A189" i="7"/>
  <c r="A279" i="7"/>
  <c r="A374" i="7"/>
  <c r="A206" i="7"/>
  <c r="A232" i="7"/>
  <c r="A375" i="7"/>
  <c r="A376" i="7"/>
  <c r="A377" i="7"/>
  <c r="A181" i="7"/>
  <c r="A254" i="7"/>
  <c r="A275" i="7"/>
  <c r="A378" i="7"/>
  <c r="A379" i="7"/>
  <c r="A380" i="7"/>
  <c r="A381" i="7"/>
  <c r="A382" i="7"/>
  <c r="A237" i="7"/>
  <c r="A383" i="7"/>
  <c r="A384" i="7"/>
  <c r="A122" i="7"/>
  <c r="A385" i="7"/>
  <c r="A204" i="7"/>
  <c r="A386" i="7"/>
  <c r="A276" i="7"/>
  <c r="A387" i="7"/>
  <c r="A388" i="7"/>
  <c r="A256" i="7"/>
  <c r="A261" i="7"/>
  <c r="A389" i="7"/>
  <c r="A390" i="7"/>
  <c r="A197" i="7"/>
  <c r="A391" i="7"/>
  <c r="A260" i="7"/>
  <c r="A392" i="7"/>
  <c r="A393" i="7"/>
  <c r="A394" i="7"/>
  <c r="A395" i="7"/>
  <c r="A239" i="7"/>
  <c r="A396" i="7"/>
  <c r="A187" i="7"/>
  <c r="A397" i="7"/>
  <c r="A230" i="7"/>
  <c r="A163" i="7"/>
  <c r="A273" i="7"/>
  <c r="A398" i="7"/>
  <c r="A399" i="7"/>
  <c r="A259" i="7"/>
  <c r="A233" i="7"/>
  <c r="A158" i="7"/>
  <c r="A400" i="7"/>
  <c r="A248" i="7"/>
  <c r="A401" i="7"/>
  <c r="A265" i="7"/>
  <c r="A402" i="7"/>
  <c r="A403" i="7"/>
  <c r="A130" i="7"/>
  <c r="A404" i="7"/>
  <c r="A405" i="7"/>
  <c r="A246" i="7"/>
  <c r="A406" i="7"/>
  <c r="A407" i="7"/>
  <c r="A218" i="7"/>
  <c r="A195" i="7"/>
  <c r="A2" i="7"/>
  <c r="D3" i="2" s="1"/>
  <c r="A3" i="7"/>
  <c r="D4" i="2" s="1"/>
  <c r="D38" i="2"/>
  <c r="D78" i="2"/>
  <c r="A1" i="7"/>
  <c r="D2" i="2" s="1"/>
  <c r="D92" i="2" l="1"/>
  <c r="D80" i="2"/>
  <c r="D73" i="2"/>
  <c r="D37" i="2"/>
  <c r="D9" i="2"/>
  <c r="D25" i="2"/>
  <c r="D66" i="2"/>
  <c r="D90" i="2"/>
  <c r="D86" i="2"/>
  <c r="D82" i="2"/>
  <c r="D70" i="2"/>
  <c r="D54" i="2"/>
  <c r="D46" i="2"/>
  <c r="D42" i="2"/>
  <c r="D34" i="2"/>
  <c r="D30" i="2"/>
  <c r="D26" i="2"/>
  <c r="D22" i="2"/>
  <c r="D18" i="2"/>
  <c r="D14" i="2"/>
  <c r="D6" i="2"/>
  <c r="D71" i="2"/>
  <c r="D94" i="2"/>
  <c r="D58" i="2"/>
  <c r="D101" i="2"/>
  <c r="D81" i="2"/>
  <c r="D77" i="2"/>
  <c r="D69" i="2"/>
  <c r="D61" i="2"/>
  <c r="D33" i="2"/>
  <c r="D29" i="2"/>
  <c r="D13" i="2"/>
  <c r="D91" i="2"/>
  <c r="D19" i="2"/>
  <c r="D93" i="2"/>
  <c r="D85" i="2"/>
  <c r="D57" i="2"/>
  <c r="D53" i="2"/>
  <c r="D45" i="2"/>
  <c r="D50" i="2"/>
  <c r="D100" i="2"/>
  <c r="D88" i="2"/>
  <c r="D76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E56" i="2"/>
  <c r="E52" i="2"/>
  <c r="E48" i="2"/>
  <c r="D2" i="7"/>
  <c r="G3" i="2" s="1"/>
  <c r="D386" i="7"/>
  <c r="D376" i="7"/>
  <c r="D403" i="7"/>
  <c r="D299" i="7"/>
  <c r="D396" i="7"/>
  <c r="D57" i="7"/>
  <c r="D251" i="7"/>
  <c r="D248" i="7"/>
  <c r="D393" i="7"/>
  <c r="D384" i="7"/>
  <c r="D374" i="7"/>
  <c r="D338" i="7"/>
  <c r="D87" i="7"/>
  <c r="D52" i="7"/>
  <c r="D195" i="7"/>
  <c r="D259" i="7"/>
  <c r="D197" i="7"/>
  <c r="G198" i="2" s="1"/>
  <c r="D381" i="7"/>
  <c r="D373" i="7"/>
  <c r="D319" i="7"/>
  <c r="D292" i="7"/>
  <c r="D35" i="7"/>
  <c r="D246" i="7"/>
  <c r="D163" i="7"/>
  <c r="D256" i="7"/>
  <c r="D275" i="7"/>
  <c r="D213" i="7"/>
  <c r="D132" i="7"/>
  <c r="D41" i="7"/>
  <c r="D17" i="7"/>
  <c r="E405" i="7"/>
  <c r="D405" i="7"/>
  <c r="E400" i="7"/>
  <c r="D400" i="7"/>
  <c r="E230" i="7"/>
  <c r="D230" i="7"/>
  <c r="E392" i="7"/>
  <c r="D392" i="7"/>
  <c r="E388" i="7"/>
  <c r="D388" i="7"/>
  <c r="E383" i="7"/>
  <c r="D383" i="7"/>
  <c r="E272" i="7"/>
  <c r="D272" i="7"/>
  <c r="E354" i="7"/>
  <c r="D354" i="7"/>
  <c r="E173" i="7"/>
  <c r="D173" i="7"/>
  <c r="E332" i="7"/>
  <c r="D332" i="7"/>
  <c r="E216" i="7"/>
  <c r="D216" i="7"/>
  <c r="E310" i="7"/>
  <c r="D310" i="7"/>
  <c r="E114" i="7"/>
  <c r="D114" i="7"/>
  <c r="E308" i="7"/>
  <c r="D308" i="7"/>
  <c r="E152" i="7"/>
  <c r="D152" i="7"/>
  <c r="E183" i="7"/>
  <c r="D183" i="7"/>
  <c r="E142" i="7"/>
  <c r="D142" i="7"/>
  <c r="E101" i="7"/>
  <c r="D101" i="7"/>
  <c r="E305" i="7"/>
  <c r="D305" i="7"/>
  <c r="E222" i="7"/>
  <c r="D222" i="7"/>
  <c r="E70" i="7"/>
  <c r="D70" i="7"/>
  <c r="E209" i="7"/>
  <c r="D209" i="7"/>
  <c r="E68" i="7"/>
  <c r="D68" i="7"/>
  <c r="E178" i="7"/>
  <c r="D178" i="7"/>
  <c r="E137" i="7"/>
  <c r="D137" i="7"/>
  <c r="E107" i="7"/>
  <c r="D107" i="7"/>
  <c r="E106" i="7"/>
  <c r="D106" i="7"/>
  <c r="E25" i="7"/>
  <c r="D25" i="7"/>
  <c r="D363" i="7"/>
  <c r="D225" i="7"/>
  <c r="D223" i="7"/>
  <c r="D215" i="7"/>
  <c r="D166" i="7"/>
  <c r="E366" i="7"/>
  <c r="D366" i="7"/>
  <c r="E365" i="7"/>
  <c r="D365" i="7"/>
  <c r="E361" i="7"/>
  <c r="D361" i="7"/>
  <c r="E348" i="7"/>
  <c r="D348" i="7"/>
  <c r="E336" i="7"/>
  <c r="D336" i="7"/>
  <c r="E321" i="7"/>
  <c r="D321" i="7"/>
  <c r="E271" i="7"/>
  <c r="D271" i="7"/>
  <c r="E212" i="7"/>
  <c r="D212" i="7"/>
  <c r="E407" i="7"/>
  <c r="D407" i="7"/>
  <c r="E404" i="7"/>
  <c r="D404" i="7"/>
  <c r="E265" i="7"/>
  <c r="D265" i="7"/>
  <c r="E158" i="7"/>
  <c r="D158" i="7"/>
  <c r="E398" i="7"/>
  <c r="D398" i="7"/>
  <c r="E397" i="7"/>
  <c r="D397" i="7"/>
  <c r="E395" i="7"/>
  <c r="D395" i="7"/>
  <c r="E260" i="7"/>
  <c r="D260" i="7"/>
  <c r="E389" i="7"/>
  <c r="D389" i="7"/>
  <c r="E387" i="7"/>
  <c r="D387" i="7"/>
  <c r="E385" i="7"/>
  <c r="D385" i="7"/>
  <c r="E237" i="7"/>
  <c r="D237" i="7"/>
  <c r="E379" i="7"/>
  <c r="D379" i="7"/>
  <c r="E181" i="7"/>
  <c r="D181" i="7"/>
  <c r="E232" i="7"/>
  <c r="D232" i="7"/>
  <c r="E189" i="7"/>
  <c r="D189" i="7"/>
  <c r="E372" i="7"/>
  <c r="D372" i="7"/>
  <c r="E369" i="7"/>
  <c r="D369" i="7"/>
  <c r="E364" i="7"/>
  <c r="D364" i="7"/>
  <c r="E360" i="7"/>
  <c r="D360" i="7"/>
  <c r="E241" i="7"/>
  <c r="D241" i="7"/>
  <c r="E240" i="7"/>
  <c r="D240" i="7"/>
  <c r="E266" i="7"/>
  <c r="D266" i="7"/>
  <c r="E236" i="7"/>
  <c r="D236" i="7"/>
  <c r="E347" i="7"/>
  <c r="D347" i="7"/>
  <c r="E343" i="7"/>
  <c r="D343" i="7"/>
  <c r="E257" i="7"/>
  <c r="D257" i="7"/>
  <c r="E341" i="7"/>
  <c r="D341" i="7"/>
  <c r="E339" i="7"/>
  <c r="D339" i="7"/>
  <c r="E208" i="7"/>
  <c r="D208" i="7"/>
  <c r="E231" i="7"/>
  <c r="D231" i="7"/>
  <c r="E334" i="7"/>
  <c r="D334" i="7"/>
  <c r="E331" i="7"/>
  <c r="D331" i="7"/>
  <c r="E328" i="7"/>
  <c r="D328" i="7"/>
  <c r="E325" i="7"/>
  <c r="D325" i="7"/>
  <c r="E322" i="7"/>
  <c r="D322" i="7"/>
  <c r="E320" i="7"/>
  <c r="D320" i="7"/>
  <c r="E182" i="7"/>
  <c r="D182" i="7"/>
  <c r="E91" i="7"/>
  <c r="D91" i="7"/>
  <c r="E317" i="7"/>
  <c r="D317" i="7"/>
  <c r="E226" i="7"/>
  <c r="D226" i="7"/>
  <c r="E314" i="7"/>
  <c r="D314" i="7"/>
  <c r="E164" i="7"/>
  <c r="D164" i="7"/>
  <c r="E199" i="7"/>
  <c r="D199" i="7"/>
  <c r="E96" i="7"/>
  <c r="D96" i="7"/>
  <c r="E172" i="7"/>
  <c r="D172" i="7"/>
  <c r="E174" i="7"/>
  <c r="D174" i="7"/>
  <c r="E149" i="7"/>
  <c r="D149" i="7"/>
  <c r="E309" i="7"/>
  <c r="D309" i="7"/>
  <c r="E168" i="7"/>
  <c r="D168" i="7"/>
  <c r="E167" i="7"/>
  <c r="D167" i="7"/>
  <c r="E144" i="7"/>
  <c r="D144" i="7"/>
  <c r="G190" i="2" s="1"/>
  <c r="E194" i="7"/>
  <c r="D194" i="7"/>
  <c r="E263" i="7"/>
  <c r="D263" i="7"/>
  <c r="G182" i="2" s="1"/>
  <c r="E143" i="7"/>
  <c r="D143" i="7"/>
  <c r="E95" i="7"/>
  <c r="D95" i="7"/>
  <c r="E160" i="7"/>
  <c r="D160" i="7"/>
  <c r="E193" i="7"/>
  <c r="D193" i="7"/>
  <c r="E110" i="7"/>
  <c r="D110" i="7"/>
  <c r="E79" i="7"/>
  <c r="D79" i="7"/>
  <c r="E133" i="7"/>
  <c r="D133" i="7"/>
  <c r="E89" i="7"/>
  <c r="D89" i="7"/>
  <c r="G150" i="2" s="1"/>
  <c r="E94" i="7"/>
  <c r="D94" i="7"/>
  <c r="E151" i="7"/>
  <c r="D151" i="7"/>
  <c r="E191" i="7"/>
  <c r="D191" i="7"/>
  <c r="E86" i="7"/>
  <c r="D86" i="7"/>
  <c r="E298" i="7"/>
  <c r="D298" i="7"/>
  <c r="E296" i="7"/>
  <c r="D296" i="7"/>
  <c r="E83" i="7"/>
  <c r="D83" i="7"/>
  <c r="E58" i="7"/>
  <c r="D58" i="7"/>
  <c r="E135" i="7"/>
  <c r="D135" i="7"/>
  <c r="E294" i="7"/>
  <c r="D294" i="7"/>
  <c r="E88" i="7"/>
  <c r="D88" i="7"/>
  <c r="G89" i="2" s="1"/>
  <c r="E140" i="7"/>
  <c r="D140" i="7"/>
  <c r="E154" i="7"/>
  <c r="D154" i="7"/>
  <c r="E196" i="7"/>
  <c r="D196" i="7"/>
  <c r="E105" i="7"/>
  <c r="D105" i="7"/>
  <c r="G106" i="2" s="1"/>
  <c r="E290" i="7"/>
  <c r="D290" i="7"/>
  <c r="E40" i="7"/>
  <c r="D40" i="7"/>
  <c r="E115" i="7"/>
  <c r="D115" i="7"/>
  <c r="E289" i="7"/>
  <c r="D289" i="7"/>
  <c r="E62" i="7"/>
  <c r="D62" i="7"/>
  <c r="E131" i="7"/>
  <c r="D131" i="7"/>
  <c r="E286" i="7"/>
  <c r="D286" i="7"/>
  <c r="E61" i="7"/>
  <c r="D61" i="7"/>
  <c r="E30" i="7"/>
  <c r="D30" i="7"/>
  <c r="E71" i="7"/>
  <c r="D71" i="7"/>
  <c r="E22" i="7"/>
  <c r="D22" i="7"/>
  <c r="E97" i="7"/>
  <c r="D97" i="7"/>
  <c r="G42" i="2" s="1"/>
  <c r="E48" i="7"/>
  <c r="D48" i="7"/>
  <c r="E34" i="7"/>
  <c r="D34" i="7"/>
  <c r="E282" i="7"/>
  <c r="D282" i="7"/>
  <c r="E38" i="7"/>
  <c r="D38" i="7"/>
  <c r="E64" i="7"/>
  <c r="D64" i="7"/>
  <c r="E280" i="7"/>
  <c r="D280" i="7"/>
  <c r="E7" i="7"/>
  <c r="D7" i="7"/>
  <c r="E20" i="7"/>
  <c r="D20" i="7"/>
  <c r="E9" i="7"/>
  <c r="D9" i="7"/>
  <c r="D357" i="7"/>
  <c r="D344" i="7"/>
  <c r="D329" i="7"/>
  <c r="D185" i="7"/>
  <c r="D180" i="7"/>
  <c r="E218" i="7"/>
  <c r="D218" i="7"/>
  <c r="E402" i="7"/>
  <c r="D402" i="7"/>
  <c r="E399" i="7"/>
  <c r="D399" i="7"/>
  <c r="E239" i="7"/>
  <c r="D239" i="7"/>
  <c r="E390" i="7"/>
  <c r="D390" i="7"/>
  <c r="E204" i="7"/>
  <c r="D204" i="7"/>
  <c r="E380" i="7"/>
  <c r="D380" i="7"/>
  <c r="E254" i="7"/>
  <c r="D254" i="7"/>
  <c r="E375" i="7"/>
  <c r="D375" i="7"/>
  <c r="E279" i="7"/>
  <c r="D279" i="7"/>
  <c r="E217" i="7"/>
  <c r="D217" i="7"/>
  <c r="E350" i="7"/>
  <c r="D350" i="7"/>
  <c r="E340" i="7"/>
  <c r="D340" i="7"/>
  <c r="E250" i="7"/>
  <c r="D250" i="7"/>
  <c r="E316" i="7"/>
  <c r="D316" i="7"/>
  <c r="E188" i="7"/>
  <c r="D188" i="7"/>
  <c r="E311" i="7"/>
  <c r="D311" i="7"/>
  <c r="E249" i="7"/>
  <c r="D249" i="7"/>
  <c r="E406" i="7"/>
  <c r="D406" i="7"/>
  <c r="E130" i="7"/>
  <c r="D130" i="7"/>
  <c r="E401" i="7"/>
  <c r="D401" i="7"/>
  <c r="E233" i="7"/>
  <c r="D233" i="7"/>
  <c r="E273" i="7"/>
  <c r="D273" i="7"/>
  <c r="E187" i="7"/>
  <c r="D187" i="7"/>
  <c r="E394" i="7"/>
  <c r="D394" i="7"/>
  <c r="E391" i="7"/>
  <c r="D391" i="7"/>
  <c r="E261" i="7"/>
  <c r="D261" i="7"/>
  <c r="E276" i="7"/>
  <c r="D276" i="7"/>
  <c r="E122" i="7"/>
  <c r="D122" i="7"/>
  <c r="E382" i="7"/>
  <c r="D382" i="7"/>
  <c r="E378" i="7"/>
  <c r="D378" i="7"/>
  <c r="E377" i="7"/>
  <c r="D377" i="7"/>
  <c r="E206" i="7"/>
  <c r="D206" i="7"/>
  <c r="E214" i="7"/>
  <c r="D214" i="7"/>
  <c r="E371" i="7"/>
  <c r="D371" i="7"/>
  <c r="E368" i="7"/>
  <c r="D368" i="7"/>
  <c r="E234" i="7"/>
  <c r="D234" i="7"/>
  <c r="E359" i="7"/>
  <c r="D359" i="7"/>
  <c r="D370" i="7"/>
  <c r="D238" i="7"/>
  <c r="D342" i="7"/>
  <c r="D323" i="7"/>
  <c r="D155" i="7"/>
  <c r="D301" i="7"/>
  <c r="E315" i="7"/>
  <c r="D315" i="7"/>
  <c r="E121" i="7"/>
  <c r="D121" i="7"/>
  <c r="G122" i="2" s="1"/>
  <c r="E205" i="7"/>
  <c r="D205" i="7"/>
  <c r="E175" i="7"/>
  <c r="D175" i="7"/>
  <c r="E210" i="7"/>
  <c r="D210" i="7"/>
  <c r="E198" i="7"/>
  <c r="D198" i="7"/>
  <c r="E116" i="7"/>
  <c r="D116" i="7"/>
  <c r="G209" i="2" s="1"/>
  <c r="E138" i="7"/>
  <c r="D138" i="7"/>
  <c r="E247" i="7"/>
  <c r="D247" i="7"/>
  <c r="E162" i="7"/>
  <c r="D162" i="7"/>
  <c r="G197" i="2" s="1"/>
  <c r="E108" i="7"/>
  <c r="D108" i="7"/>
  <c r="E221" i="7"/>
  <c r="D221" i="7"/>
  <c r="E306" i="7"/>
  <c r="D306" i="7"/>
  <c r="E264" i="7"/>
  <c r="D264" i="7"/>
  <c r="E145" i="7"/>
  <c r="D145" i="7"/>
  <c r="E129" i="7"/>
  <c r="D129" i="7"/>
  <c r="G173" i="2" s="1"/>
  <c r="E304" i="7"/>
  <c r="D304" i="7"/>
  <c r="G169" i="2" s="1"/>
  <c r="E227" i="7"/>
  <c r="D227" i="7"/>
  <c r="E303" i="7"/>
  <c r="D303" i="7"/>
  <c r="E128" i="7"/>
  <c r="D128" i="7"/>
  <c r="G129" i="2" s="1"/>
  <c r="E153" i="7"/>
  <c r="D153" i="7"/>
  <c r="E92" i="7"/>
  <c r="D92" i="7"/>
  <c r="E146" i="7"/>
  <c r="D146" i="7"/>
  <c r="E161" i="7"/>
  <c r="D161" i="7"/>
  <c r="G141" i="2" s="1"/>
  <c r="E99" i="7"/>
  <c r="D99" i="7"/>
  <c r="E150" i="7"/>
  <c r="D150" i="7"/>
  <c r="E127" i="7"/>
  <c r="D127" i="7"/>
  <c r="E201" i="7"/>
  <c r="D201" i="7"/>
  <c r="E295" i="7"/>
  <c r="D295" i="7"/>
  <c r="E82" i="7"/>
  <c r="D82" i="7"/>
  <c r="E80" i="7"/>
  <c r="D80" i="7"/>
  <c r="G81" i="2" s="1"/>
  <c r="E134" i="7"/>
  <c r="D134" i="7"/>
  <c r="E84" i="7"/>
  <c r="D84" i="7"/>
  <c r="E56" i="7"/>
  <c r="D56" i="7"/>
  <c r="E85" i="7"/>
  <c r="D85" i="7"/>
  <c r="E124" i="7"/>
  <c r="D124" i="7"/>
  <c r="G93" i="2" s="1"/>
  <c r="E120" i="7"/>
  <c r="D120" i="7"/>
  <c r="E103" i="7"/>
  <c r="D103" i="7"/>
  <c r="E55" i="7"/>
  <c r="D55" i="7"/>
  <c r="G56" i="2" s="1"/>
  <c r="E60" i="7"/>
  <c r="D60" i="7"/>
  <c r="E69" i="7"/>
  <c r="D69" i="7"/>
  <c r="G70" i="2" s="1"/>
  <c r="E104" i="7"/>
  <c r="D104" i="7"/>
  <c r="E288" i="7"/>
  <c r="D288" i="7"/>
  <c r="E44" i="7"/>
  <c r="D44" i="7"/>
  <c r="G61" i="2" s="1"/>
  <c r="E285" i="7"/>
  <c r="D285" i="7"/>
  <c r="E284" i="7"/>
  <c r="D284" i="7"/>
  <c r="G53" i="2" s="1"/>
  <c r="E42" i="7"/>
  <c r="D42" i="7"/>
  <c r="E53" i="7"/>
  <c r="D53" i="7"/>
  <c r="G45" i="2" s="1"/>
  <c r="E13" i="7"/>
  <c r="D13" i="7"/>
  <c r="E50" i="7"/>
  <c r="D50" i="7"/>
  <c r="E23" i="7"/>
  <c r="D23" i="7"/>
  <c r="E24" i="7"/>
  <c r="D24" i="7"/>
  <c r="E31" i="7"/>
  <c r="D31" i="7"/>
  <c r="G32" i="2" s="1"/>
  <c r="E29" i="7"/>
  <c r="D29" i="7"/>
  <c r="E59" i="7"/>
  <c r="D59" i="7"/>
  <c r="E16" i="7"/>
  <c r="D16" i="7"/>
  <c r="G17" i="2" s="1"/>
  <c r="E21" i="7"/>
  <c r="D21" i="7"/>
  <c r="E4" i="7"/>
  <c r="D4" i="7"/>
  <c r="G5" i="2" s="1"/>
  <c r="D355" i="7"/>
  <c r="D352" i="7"/>
  <c r="D139" i="7"/>
  <c r="D169" i="7"/>
  <c r="D255" i="7"/>
  <c r="D337" i="7"/>
  <c r="D268" i="7"/>
  <c r="D327" i="7"/>
  <c r="D258" i="7"/>
  <c r="D244" i="7"/>
  <c r="D202" i="7"/>
  <c r="D90" i="7"/>
  <c r="D100" i="7"/>
  <c r="D65" i="7"/>
  <c r="D93" i="7"/>
  <c r="G63" i="2" s="1"/>
  <c r="D283" i="7"/>
  <c r="D39" i="7"/>
  <c r="G31" i="2" s="1"/>
  <c r="D12" i="7"/>
  <c r="E229" i="7"/>
  <c r="D229" i="7"/>
  <c r="E367" i="7"/>
  <c r="D367" i="7"/>
  <c r="E170" i="7"/>
  <c r="D170" i="7"/>
  <c r="E362" i="7"/>
  <c r="D362" i="7"/>
  <c r="E358" i="7"/>
  <c r="D358" i="7"/>
  <c r="E356" i="7"/>
  <c r="D356" i="7"/>
  <c r="E253" i="7"/>
  <c r="D253" i="7"/>
  <c r="E353" i="7"/>
  <c r="D353" i="7"/>
  <c r="E351" i="7"/>
  <c r="D351" i="7"/>
  <c r="E262" i="7"/>
  <c r="D262" i="7"/>
  <c r="E349" i="7"/>
  <c r="D349" i="7"/>
  <c r="E345" i="7"/>
  <c r="D345" i="7"/>
  <c r="E245" i="7"/>
  <c r="D245" i="7"/>
  <c r="E269" i="7"/>
  <c r="D269" i="7"/>
  <c r="E228" i="7"/>
  <c r="D228" i="7"/>
  <c r="E203" i="7"/>
  <c r="D203" i="7"/>
  <c r="E165" i="7"/>
  <c r="D165" i="7"/>
  <c r="E274" i="7"/>
  <c r="D274" i="7"/>
  <c r="E333" i="7"/>
  <c r="D333" i="7"/>
  <c r="E278" i="7"/>
  <c r="D278" i="7"/>
  <c r="E326" i="7"/>
  <c r="D326" i="7"/>
  <c r="E277" i="7"/>
  <c r="D277" i="7"/>
  <c r="E179" i="7"/>
  <c r="D179" i="7"/>
  <c r="E192" i="7"/>
  <c r="D192" i="7"/>
  <c r="G193" i="2" s="1"/>
  <c r="E267" i="7"/>
  <c r="D267" i="7"/>
  <c r="E219" i="7"/>
  <c r="D219" i="7"/>
  <c r="E200" i="7"/>
  <c r="D200" i="7"/>
  <c r="E177" i="7"/>
  <c r="D177" i="7"/>
  <c r="E313" i="7"/>
  <c r="D313" i="7"/>
  <c r="E186" i="7"/>
  <c r="D186" i="7"/>
  <c r="E190" i="7"/>
  <c r="D190" i="7"/>
  <c r="E312" i="7"/>
  <c r="D312" i="7"/>
  <c r="E220" i="7"/>
  <c r="D220" i="7"/>
  <c r="E159" i="7"/>
  <c r="D159" i="7"/>
  <c r="E148" i="7"/>
  <c r="D148" i="7"/>
  <c r="E81" i="7"/>
  <c r="D81" i="7"/>
  <c r="G200" i="2" s="1"/>
  <c r="E184" i="7"/>
  <c r="D184" i="7"/>
  <c r="G196" i="2" s="1"/>
  <c r="E307" i="7"/>
  <c r="D307" i="7"/>
  <c r="G192" i="2" s="1"/>
  <c r="E113" i="7"/>
  <c r="D113" i="7"/>
  <c r="E77" i="7"/>
  <c r="D77" i="7"/>
  <c r="G184" i="2" s="1"/>
  <c r="E176" i="7"/>
  <c r="D176" i="7"/>
  <c r="G180" i="2" s="1"/>
  <c r="E147" i="7"/>
  <c r="D147" i="7"/>
  <c r="E243" i="7"/>
  <c r="D243" i="7"/>
  <c r="E207" i="7"/>
  <c r="D207" i="7"/>
  <c r="G168" i="2" s="1"/>
  <c r="E211" i="7"/>
  <c r="D211" i="7"/>
  <c r="E302" i="7"/>
  <c r="D302" i="7"/>
  <c r="G160" i="2" s="1"/>
  <c r="E157" i="7"/>
  <c r="D157" i="7"/>
  <c r="E119" i="7"/>
  <c r="D119" i="7"/>
  <c r="E156" i="7"/>
  <c r="D156" i="7"/>
  <c r="E102" i="7"/>
  <c r="D102" i="7"/>
  <c r="G144" i="2" s="1"/>
  <c r="E125" i="7"/>
  <c r="D125" i="7"/>
  <c r="E300" i="7"/>
  <c r="D300" i="7"/>
  <c r="G136" i="2" s="1"/>
  <c r="E171" i="7"/>
  <c r="D171" i="7"/>
  <c r="E297" i="7"/>
  <c r="D297" i="7"/>
  <c r="G128" i="2" s="1"/>
  <c r="E136" i="7"/>
  <c r="D136" i="7"/>
  <c r="E126" i="7"/>
  <c r="D126" i="7"/>
  <c r="G120" i="2" s="1"/>
  <c r="E118" i="7"/>
  <c r="D118" i="7"/>
  <c r="G116" i="2" s="1"/>
  <c r="E98" i="7"/>
  <c r="D98" i="7"/>
  <c r="E117" i="7"/>
  <c r="D117" i="7"/>
  <c r="G108" i="2" s="1"/>
  <c r="E43" i="7"/>
  <c r="D43" i="7"/>
  <c r="E123" i="7"/>
  <c r="D123" i="7"/>
  <c r="E72" i="7"/>
  <c r="D72" i="7"/>
  <c r="E111" i="7"/>
  <c r="D111" i="7"/>
  <c r="E54" i="7"/>
  <c r="D54" i="7"/>
  <c r="G88" i="2" s="1"/>
  <c r="E51" i="7"/>
  <c r="D51" i="7"/>
  <c r="E66" i="7"/>
  <c r="D66" i="7"/>
  <c r="E63" i="7"/>
  <c r="D63" i="7"/>
  <c r="E109" i="7"/>
  <c r="D109" i="7"/>
  <c r="G72" i="2" s="1"/>
  <c r="E78" i="7"/>
  <c r="D78" i="7"/>
  <c r="E287" i="7"/>
  <c r="D287" i="7"/>
  <c r="E112" i="7"/>
  <c r="D112" i="7"/>
  <c r="G113" i="2" s="1"/>
  <c r="E74" i="7"/>
  <c r="D74" i="7"/>
  <c r="E36" i="7"/>
  <c r="D36" i="7"/>
  <c r="G52" i="2" s="1"/>
  <c r="E67" i="7"/>
  <c r="D67" i="7"/>
  <c r="E10" i="7"/>
  <c r="D10" i="7"/>
  <c r="E26" i="7"/>
  <c r="D26" i="7"/>
  <c r="E27" i="7"/>
  <c r="D27" i="7"/>
  <c r="G36" i="2" s="1"/>
  <c r="E45" i="7"/>
  <c r="D45" i="7"/>
  <c r="E8" i="7"/>
  <c r="D8" i="7"/>
  <c r="G28" i="2" s="1"/>
  <c r="E281" i="7"/>
  <c r="D281" i="7"/>
  <c r="E46" i="7"/>
  <c r="D46" i="7"/>
  <c r="E14" i="7"/>
  <c r="D14" i="7"/>
  <c r="E11" i="7"/>
  <c r="D11" i="7"/>
  <c r="G12" i="2" s="1"/>
  <c r="E5" i="7"/>
  <c r="D5" i="7"/>
  <c r="E3" i="7"/>
  <c r="D3" i="7"/>
  <c r="G4" i="2" s="1"/>
  <c r="D242" i="7"/>
  <c r="D293" i="7"/>
  <c r="D73" i="7"/>
  <c r="G91" i="2" s="1"/>
  <c r="D76" i="7"/>
  <c r="D49" i="7"/>
  <c r="G59" i="2" s="1"/>
  <c r="D28" i="7"/>
  <c r="G43" i="2" s="1"/>
  <c r="D18" i="7"/>
  <c r="D15" i="7"/>
  <c r="G11" i="2" s="1"/>
  <c r="D235" i="7"/>
  <c r="D252" i="7"/>
  <c r="D346" i="7"/>
  <c r="D270" i="7"/>
  <c r="D224" i="7"/>
  <c r="D335" i="7"/>
  <c r="D330" i="7"/>
  <c r="D324" i="7"/>
  <c r="D141" i="7"/>
  <c r="G142" i="2" s="1"/>
  <c r="D318" i="7"/>
  <c r="D37" i="7"/>
  <c r="D75" i="7"/>
  <c r="D291" i="7"/>
  <c r="G87" i="2" s="1"/>
  <c r="D32" i="7"/>
  <c r="G71" i="2" s="1"/>
  <c r="D33" i="7"/>
  <c r="G55" i="2" s="1"/>
  <c r="D47" i="7"/>
  <c r="G48" i="2" s="1"/>
  <c r="D19" i="7"/>
  <c r="G23" i="2" s="1"/>
  <c r="D6" i="7"/>
  <c r="G7" i="2" s="1"/>
  <c r="G109" i="2"/>
  <c r="G186" i="2"/>
  <c r="G154" i="2"/>
  <c r="G90" i="2"/>
  <c r="G158" i="2"/>
  <c r="G177" i="2"/>
  <c r="G145" i="2"/>
  <c r="E75" i="2"/>
  <c r="E51" i="2"/>
  <c r="G57" i="2"/>
  <c r="G49" i="2"/>
  <c r="E91" i="2"/>
  <c r="E87" i="2"/>
  <c r="E71" i="2"/>
  <c r="E99" i="2"/>
  <c r="E83" i="2"/>
  <c r="E67" i="2"/>
  <c r="E95" i="2"/>
  <c r="E79" i="2"/>
  <c r="E63" i="2"/>
  <c r="E101" i="2"/>
  <c r="E97" i="2"/>
  <c r="G97" i="2"/>
  <c r="E93" i="2"/>
  <c r="E89" i="2"/>
  <c r="E85" i="2"/>
  <c r="E81" i="2"/>
  <c r="E77" i="2"/>
  <c r="E73" i="2"/>
  <c r="E69" i="2"/>
  <c r="E65" i="2"/>
  <c r="G65" i="2"/>
  <c r="E61" i="2"/>
  <c r="G195" i="2"/>
  <c r="E60" i="2"/>
  <c r="E98" i="2"/>
  <c r="E94" i="2"/>
  <c r="E90" i="2"/>
  <c r="E86" i="2"/>
  <c r="E82" i="2"/>
  <c r="E78" i="2"/>
  <c r="E74" i="2"/>
  <c r="E70" i="2"/>
  <c r="E66" i="2"/>
  <c r="E62" i="2"/>
  <c r="E39" i="2"/>
  <c r="E23" i="2"/>
  <c r="E100" i="2"/>
  <c r="E96" i="2"/>
  <c r="E92" i="2"/>
  <c r="E88" i="2"/>
  <c r="E84" i="2"/>
  <c r="E80" i="2"/>
  <c r="E76" i="2"/>
  <c r="E72" i="2"/>
  <c r="E68" i="2"/>
  <c r="E64" i="2"/>
  <c r="E59" i="2"/>
  <c r="E7" i="2"/>
  <c r="E45" i="2"/>
  <c r="E33" i="2"/>
  <c r="E21" i="2"/>
  <c r="E5" i="2"/>
  <c r="E44" i="2"/>
  <c r="E40" i="2"/>
  <c r="E36" i="2"/>
  <c r="E32" i="2"/>
  <c r="E28" i="2"/>
  <c r="E24" i="2"/>
  <c r="E20" i="2"/>
  <c r="E16" i="2"/>
  <c r="E12" i="2"/>
  <c r="E8" i="2"/>
  <c r="E4" i="2"/>
  <c r="E57" i="2"/>
  <c r="E49" i="2"/>
  <c r="E35" i="2"/>
  <c r="E19" i="2"/>
  <c r="E3" i="2"/>
  <c r="G24" i="2"/>
  <c r="G8" i="2"/>
  <c r="E37" i="2"/>
  <c r="G25" i="2"/>
  <c r="E25" i="2"/>
  <c r="E13" i="2"/>
  <c r="E55" i="2"/>
  <c r="E47" i="2"/>
  <c r="E31" i="2"/>
  <c r="E15" i="2"/>
  <c r="E41" i="2"/>
  <c r="E29" i="2"/>
  <c r="E17" i="2"/>
  <c r="G9" i="2"/>
  <c r="E9" i="2"/>
  <c r="G2" i="2"/>
  <c r="E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53" i="2"/>
  <c r="E43" i="2"/>
  <c r="E27" i="2"/>
  <c r="E11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O14" i="2"/>
  <c r="F14" i="2"/>
  <c r="F13" i="2"/>
  <c r="F12" i="2"/>
  <c r="G164" i="2" l="1"/>
  <c r="G69" i="2"/>
  <c r="G133" i="2"/>
  <c r="G174" i="2"/>
  <c r="G27" i="2"/>
  <c r="G143" i="2"/>
  <c r="G40" i="2"/>
  <c r="G107" i="2"/>
  <c r="G153" i="2"/>
  <c r="G138" i="2"/>
  <c r="G16" i="2"/>
  <c r="G119" i="2"/>
  <c r="G64" i="2"/>
  <c r="G80" i="2"/>
  <c r="G96" i="2"/>
  <c r="G104" i="2"/>
  <c r="G112" i="2"/>
  <c r="G152" i="2"/>
  <c r="G176" i="2"/>
  <c r="G79" i="2"/>
  <c r="G105" i="2"/>
  <c r="G137" i="2"/>
  <c r="G185" i="2"/>
  <c r="G201" i="2"/>
  <c r="G10" i="2"/>
  <c r="G18" i="2"/>
  <c r="G26" i="2"/>
  <c r="G58" i="2"/>
  <c r="G114" i="2"/>
  <c r="G130" i="2"/>
  <c r="G162" i="2"/>
  <c r="G170" i="2"/>
  <c r="G194" i="2"/>
  <c r="G202" i="2"/>
  <c r="G210" i="2"/>
  <c r="G83" i="2"/>
  <c r="G115" i="2"/>
  <c r="G163" i="2"/>
  <c r="G34" i="2"/>
  <c r="G74" i="2"/>
  <c r="G73" i="2"/>
  <c r="G159" i="2"/>
  <c r="G161" i="2"/>
  <c r="G188" i="2"/>
  <c r="G211" i="2"/>
  <c r="G135" i="2"/>
  <c r="G167" i="2"/>
  <c r="G199" i="2"/>
  <c r="G123" i="2"/>
  <c r="G155" i="2"/>
  <c r="G175" i="2"/>
  <c r="G187" i="2"/>
  <c r="G207" i="2"/>
  <c r="G19" i="2"/>
  <c r="G35" i="2"/>
  <c r="G51" i="2"/>
  <c r="G67" i="2"/>
  <c r="G208" i="2"/>
  <c r="G121" i="2"/>
  <c r="G50" i="2"/>
  <c r="G66" i="2"/>
  <c r="G82" i="2"/>
  <c r="G98" i="2"/>
  <c r="G146" i="2"/>
  <c r="G178" i="2"/>
  <c r="G99" i="2"/>
  <c r="G15" i="2"/>
  <c r="G95" i="2"/>
  <c r="G127" i="2"/>
  <c r="G139" i="2"/>
  <c r="G151" i="2"/>
  <c r="G171" i="2"/>
  <c r="G183" i="2"/>
  <c r="G191" i="2"/>
  <c r="G203" i="2"/>
  <c r="G131" i="2"/>
  <c r="G41" i="2"/>
  <c r="G33" i="2"/>
  <c r="G39" i="2"/>
  <c r="G103" i="2"/>
  <c r="G75" i="2"/>
  <c r="G20" i="2"/>
  <c r="G44" i="2"/>
  <c r="G60" i="2"/>
  <c r="G68" i="2"/>
  <c r="G76" i="2"/>
  <c r="G84" i="2"/>
  <c r="G92" i="2"/>
  <c r="G100" i="2"/>
  <c r="G124" i="2"/>
  <c r="G132" i="2"/>
  <c r="G140" i="2"/>
  <c r="G148" i="2"/>
  <c r="G156" i="2"/>
  <c r="G172" i="2"/>
  <c r="G204" i="2"/>
  <c r="G47" i="2"/>
  <c r="G111" i="2"/>
  <c r="G13" i="2"/>
  <c r="G21" i="2"/>
  <c r="G29" i="2"/>
  <c r="G37" i="2"/>
  <c r="G77" i="2"/>
  <c r="G85" i="2"/>
  <c r="G101" i="2"/>
  <c r="G117" i="2"/>
  <c r="G125" i="2"/>
  <c r="G149" i="2"/>
  <c r="G157" i="2"/>
  <c r="G165" i="2"/>
  <c r="G181" i="2"/>
  <c r="G189" i="2"/>
  <c r="G205" i="2"/>
  <c r="G147" i="2"/>
  <c r="G6" i="2"/>
  <c r="G14" i="2"/>
  <c r="G22" i="2"/>
  <c r="G30" i="2"/>
  <c r="G38" i="2"/>
  <c r="G46" i="2"/>
  <c r="G54" i="2"/>
  <c r="G62" i="2"/>
  <c r="G78" i="2"/>
  <c r="G86" i="2"/>
  <c r="G94" i="2"/>
  <c r="G102" i="2"/>
  <c r="G110" i="2"/>
  <c r="G118" i="2"/>
  <c r="G126" i="2"/>
  <c r="G134" i="2"/>
  <c r="G166" i="2"/>
  <c r="G206" i="2"/>
  <c r="G179" i="2"/>
  <c r="F3" i="2"/>
  <c r="F4" i="2"/>
  <c r="F5" i="2"/>
  <c r="F6" i="2"/>
  <c r="F7" i="2"/>
  <c r="F8" i="2"/>
  <c r="F9" i="2"/>
  <c r="F10" i="2"/>
  <c r="F11" i="2"/>
  <c r="F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<sst xmlns="http://schemas.openxmlformats.org/spreadsheetml/2006/main" count="3358" uniqueCount="1383">
  <si>
    <t>Position</t>
  </si>
  <si>
    <t>Game</t>
  </si>
  <si>
    <t>Team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</si>
  <si>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</si>
  <si>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</si>
  <si>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</si>
  <si>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</si>
  <si>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</si>
  <si>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</si>
  <si>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</si>
  <si>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</si>
  <si>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</si>
  <si>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</si>
  <si>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</si>
  <si>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</si>
  <si>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</si>
  <si>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</si>
  <si>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</si>
  <si>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</si>
  <si>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</si>
  <si>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</si>
  <si>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</si>
  <si>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</si>
  <si>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</si>
  <si>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</si>
  <si>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</si>
  <si>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</si>
  <si>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</si>
  <si>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</si>
  <si>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</si>
  <si>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</si>
  <si>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</si>
  <si>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</si>
  <si>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</si>
  <si>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</si>
  <si>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</si>
  <si>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</si>
  <si>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</si>
  <si>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</si>
  <si>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</si>
  <si>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</si>
  <si>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</si>
  <si>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</si>
  <si>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Russell</t>
  </si>
  <si>
    <t>CLE</t>
  </si>
  <si>
    <t>Isaiah</t>
  </si>
  <si>
    <t>Thomas</t>
  </si>
  <si>
    <t>Kevin</t>
  </si>
  <si>
    <t>O</t>
  </si>
  <si>
    <t>Knee</t>
  </si>
  <si>
    <t>Nikola</t>
  </si>
  <si>
    <t>Barnes</t>
  </si>
  <si>
    <t>Williams</t>
  </si>
  <si>
    <t>GTD</t>
  </si>
  <si>
    <t>Hill</t>
  </si>
  <si>
    <t>Thompson</t>
  </si>
  <si>
    <t>Patrick</t>
  </si>
  <si>
    <t>Michael</t>
  </si>
  <si>
    <t>Derrick</t>
  </si>
  <si>
    <t>Ben</t>
  </si>
  <si>
    <t>Foot</t>
  </si>
  <si>
    <t>Andrew</t>
  </si>
  <si>
    <t>Hamstring</t>
  </si>
  <si>
    <t>Ankle</t>
  </si>
  <si>
    <t>Kyle</t>
  </si>
  <si>
    <t>Thumb</t>
  </si>
  <si>
    <t>Grant</t>
  </si>
  <si>
    <t>Illness</t>
  </si>
  <si>
    <t>J.R.</t>
  </si>
  <si>
    <t>Smith</t>
  </si>
  <si>
    <t>Gibson</t>
  </si>
  <si>
    <t>Anthony</t>
  </si>
  <si>
    <t>Jones</t>
  </si>
  <si>
    <t>Powell</t>
  </si>
  <si>
    <t>Randle</t>
  </si>
  <si>
    <t>Jordan</t>
  </si>
  <si>
    <t>McRae</t>
  </si>
  <si>
    <t>Bobby</t>
  </si>
  <si>
    <t>Young</t>
  </si>
  <si>
    <t>Nick</t>
  </si>
  <si>
    <t>Collison</t>
  </si>
  <si>
    <t>Payne</t>
  </si>
  <si>
    <t>Jefferson</t>
  </si>
  <si>
    <t>Jonas</t>
  </si>
  <si>
    <t>Injury?</t>
  </si>
  <si>
    <t>C 1</t>
  </si>
  <si>
    <t>SAC</t>
  </si>
  <si>
    <t>LAL</t>
  </si>
  <si>
    <t>MIN</t>
  </si>
  <si>
    <t>Paul</t>
  </si>
  <si>
    <t>Wrist</t>
  </si>
  <si>
    <t>Richardson</t>
  </si>
  <si>
    <t>Brandon</t>
  </si>
  <si>
    <t>Back</t>
  </si>
  <si>
    <t>Lance</t>
  </si>
  <si>
    <t>Kris</t>
  </si>
  <si>
    <t>Willie</t>
  </si>
  <si>
    <t>Jared</t>
  </si>
  <si>
    <t>Patterson</t>
  </si>
  <si>
    <t>Arron</t>
  </si>
  <si>
    <t>Afflalo</t>
  </si>
  <si>
    <t>Metta</t>
  </si>
  <si>
    <t>World Peace</t>
  </si>
  <si>
    <t>Robinson</t>
  </si>
  <si>
    <t>Marcelo</t>
  </si>
  <si>
    <t>Huertas</t>
  </si>
  <si>
    <t>Jose</t>
  </si>
  <si>
    <t>Calderon</t>
  </si>
  <si>
    <t>Adreian</t>
  </si>
  <si>
    <t>Lopez</t>
  </si>
  <si>
    <t>Terrence</t>
  </si>
  <si>
    <t>Wade</t>
  </si>
  <si>
    <t>Shabazz</t>
  </si>
  <si>
    <t>Wright</t>
  </si>
  <si>
    <t>DeMarcus</t>
  </si>
  <si>
    <t>Cousins</t>
  </si>
  <si>
    <t>Karl-Anthony</t>
  </si>
  <si>
    <t>Towns</t>
  </si>
  <si>
    <t>TOR</t>
  </si>
  <si>
    <t>Heel</t>
  </si>
  <si>
    <t>Wiggins</t>
  </si>
  <si>
    <t>Ricky</t>
  </si>
  <si>
    <t>Rubio</t>
  </si>
  <si>
    <t>Lou</t>
  </si>
  <si>
    <t>D'Angelo</t>
  </si>
  <si>
    <t>Darren</t>
  </si>
  <si>
    <t>Julius</t>
  </si>
  <si>
    <t>Gorgui</t>
  </si>
  <si>
    <t>Dieng</t>
  </si>
  <si>
    <t>Matt</t>
  </si>
  <si>
    <t>Ty</t>
  </si>
  <si>
    <t>Lawson</t>
  </si>
  <si>
    <t>Leg</t>
  </si>
  <si>
    <t>Clarkson</t>
  </si>
  <si>
    <t>Larry</t>
  </si>
  <si>
    <t>Nance Jr.</t>
  </si>
  <si>
    <t>Tarik</t>
  </si>
  <si>
    <t>Black</t>
  </si>
  <si>
    <t>Garrett</t>
  </si>
  <si>
    <t>Temple</t>
  </si>
  <si>
    <t>McLemore</t>
  </si>
  <si>
    <t>Muhammad</t>
  </si>
  <si>
    <t>Ivica</t>
  </si>
  <si>
    <t>Zubac</t>
  </si>
  <si>
    <t>Ingram</t>
  </si>
  <si>
    <t>Nemanja</t>
  </si>
  <si>
    <t>Bjelica</t>
  </si>
  <si>
    <t>Cauley-Stein</t>
  </si>
  <si>
    <t>Tolliver</t>
  </si>
  <si>
    <t>Farmar</t>
  </si>
  <si>
    <t>Luol</t>
  </si>
  <si>
    <t>Deng</t>
  </si>
  <si>
    <t>Omri</t>
  </si>
  <si>
    <t>Casspi</t>
  </si>
  <si>
    <t>Kosta</t>
  </si>
  <si>
    <t>Koufos</t>
  </si>
  <si>
    <t>Timofey</t>
  </si>
  <si>
    <t>Mozgov</t>
  </si>
  <si>
    <t>Sullinger</t>
  </si>
  <si>
    <t>Malachi</t>
  </si>
  <si>
    <t>Georgios</t>
  </si>
  <si>
    <t>Papagiannis</t>
  </si>
  <si>
    <t>Skal</t>
  </si>
  <si>
    <t>Labissiere</t>
  </si>
  <si>
    <t>Cory</t>
  </si>
  <si>
    <t>Joseph</t>
  </si>
  <si>
    <t>Cole</t>
  </si>
  <si>
    <t>Aldrich</t>
  </si>
  <si>
    <t>Rush</t>
  </si>
  <si>
    <t>Stephenson</t>
  </si>
  <si>
    <t>Tyus</t>
  </si>
  <si>
    <t>Pascal</t>
  </si>
  <si>
    <t>Siakam</t>
  </si>
  <si>
    <t>Dunn</t>
  </si>
  <si>
    <t>Delon</t>
  </si>
  <si>
    <t>Salah Mejri</t>
  </si>
  <si>
    <t>Frank Kaminsky</t>
  </si>
  <si>
    <t>Guillermo Hernangomez</t>
  </si>
  <si>
    <t>Kentavious Caldwell-Pope</t>
  </si>
  <si>
    <t>Vince Carter</t>
  </si>
  <si>
    <t>Tristan Thompson</t>
  </si>
  <si>
    <t>Klay Thompson</t>
  </si>
  <si>
    <t>Joe Johnson</t>
  </si>
  <si>
    <t>Ish Smith</t>
  </si>
  <si>
    <t>P.J. Tucker</t>
  </si>
  <si>
    <t>Kyle Korver</t>
  </si>
  <si>
    <t>Thon Maker</t>
  </si>
  <si>
    <t>Marco Belinelli</t>
  </si>
  <si>
    <t>Shabazz Muhammad</t>
  </si>
  <si>
    <t>Channing Frye</t>
  </si>
  <si>
    <t>Serge Ibaka</t>
  </si>
  <si>
    <t>Rondae Hollis-Jefferson</t>
  </si>
  <si>
    <t>Seth Curry</t>
  </si>
  <si>
    <t>Justin Holiday</t>
  </si>
  <si>
    <t>Stephen Curry</t>
  </si>
  <si>
    <t>Marquese Chriss</t>
  </si>
  <si>
    <t>Jamal Murray</t>
  </si>
  <si>
    <t>Lucas Nogueira</t>
  </si>
  <si>
    <t>Iman Shumpert</t>
  </si>
  <si>
    <t>Jamal Crawford</t>
  </si>
  <si>
    <t>Glenn Robinson III</t>
  </si>
  <si>
    <t>Rudy Gobert</t>
  </si>
  <si>
    <t>Tobias Harris</t>
  </si>
  <si>
    <t>Al Jefferson</t>
  </si>
  <si>
    <t>JaVale McGee</t>
  </si>
  <si>
    <t>Nikola Vucevic</t>
  </si>
  <si>
    <t>Gordon Hayward</t>
  </si>
  <si>
    <t>Brandon Jennings</t>
  </si>
  <si>
    <t>Stanley Johnson</t>
  </si>
  <si>
    <t>Kristaps Porzingis</t>
  </si>
  <si>
    <t>Jrue Holiday</t>
  </si>
  <si>
    <t>Devin Harris</t>
  </si>
  <si>
    <t>Darrell Arthur</t>
  </si>
  <si>
    <t>Raymond Felton</t>
  </si>
  <si>
    <t>Trevor Booker</t>
  </si>
  <si>
    <t>Blake Griffin</t>
  </si>
  <si>
    <t>J.J. Redick</t>
  </si>
  <si>
    <t>Eric Bledsoe</t>
  </si>
  <si>
    <t>Jerian Grant</t>
  </si>
  <si>
    <t>Dion Waiters</t>
  </si>
  <si>
    <t>LeBron James</t>
  </si>
  <si>
    <t>Dwyane Wade</t>
  </si>
  <si>
    <t>Isaiah Thomas</t>
  </si>
  <si>
    <t>Jerami Grant</t>
  </si>
  <si>
    <t>Cristiano Felicio</t>
  </si>
  <si>
    <t>C.J. Miles</t>
  </si>
  <si>
    <t>Goran Dragic</t>
  </si>
  <si>
    <t>Chandler Parsons</t>
  </si>
  <si>
    <t>Devin Booker</t>
  </si>
  <si>
    <t>Tyler Johnson</t>
  </si>
  <si>
    <t>Hassan Whiteside</t>
  </si>
  <si>
    <t>Draymond Green</t>
  </si>
  <si>
    <t>Marreese Speights</t>
  </si>
  <si>
    <t>Anthony Davis</t>
  </si>
  <si>
    <t>Kyle Lowry</t>
  </si>
  <si>
    <t>Yogi Ferrell</t>
  </si>
  <si>
    <t>Mike Dunleavy</t>
  </si>
  <si>
    <t>Ricky Rubio</t>
  </si>
  <si>
    <t>James Johnson</t>
  </si>
  <si>
    <t>Dario Saric</t>
  </si>
  <si>
    <t>E'Twaun Moore</t>
  </si>
  <si>
    <t>Nemanja Bjelica</t>
  </si>
  <si>
    <t>Jimmy Butler</t>
  </si>
  <si>
    <t>Gerald Henderson</t>
  </si>
  <si>
    <t>Bojan Bogdanovic</t>
  </si>
  <si>
    <t>Austin Rivers</t>
  </si>
  <si>
    <t>Karl-Anthony Towns</t>
  </si>
  <si>
    <t>Aron Baynes</t>
  </si>
  <si>
    <t>Malcolm Brogdon</t>
  </si>
  <si>
    <t>Cameron Payne</t>
  </si>
  <si>
    <t>Andre Roberson</t>
  </si>
  <si>
    <t>Terrence Ross</t>
  </si>
  <si>
    <t>Marcus Smart</t>
  </si>
  <si>
    <t>Kyrie Irving</t>
  </si>
  <si>
    <t>Kris Humphries</t>
  </si>
  <si>
    <t>Justin Hamilton</t>
  </si>
  <si>
    <t>Ersan Ilyasova</t>
  </si>
  <si>
    <t>Joe Ingles</t>
  </si>
  <si>
    <t>JaMychal Green</t>
  </si>
  <si>
    <t>Terry Rozier</t>
  </si>
  <si>
    <t>Brian Roberts</t>
  </si>
  <si>
    <t>Buddy Hield</t>
  </si>
  <si>
    <t>Luke Babbitt</t>
  </si>
  <si>
    <t>Caris LeVert</t>
  </si>
  <si>
    <t>Jonas Jerebko</t>
  </si>
  <si>
    <t>Harrison Barnes</t>
  </si>
  <si>
    <t>Marc Gasol</t>
  </si>
  <si>
    <t>DeAndre Jordan</t>
  </si>
  <si>
    <t>Norman Powell</t>
  </si>
  <si>
    <t>Marvin Williams</t>
  </si>
  <si>
    <t>Mike Conley</t>
  </si>
  <si>
    <t>Jae Crowder</t>
  </si>
  <si>
    <t>DeMarre Carroll</t>
  </si>
  <si>
    <t>Courtney Lee</t>
  </si>
  <si>
    <t>Robin Lopez</t>
  </si>
  <si>
    <t>Kent Bazemore</t>
  </si>
  <si>
    <t>Russell Westbrook</t>
  </si>
  <si>
    <t>Richard Jefferson</t>
  </si>
  <si>
    <t>Tony Snell</t>
  </si>
  <si>
    <t>Luc Richard Mbah a Moute</t>
  </si>
  <si>
    <t>Sergio Rodriguez</t>
  </si>
  <si>
    <t>Rodney McGruder</t>
  </si>
  <si>
    <t>Greg Monroe</t>
  </si>
  <si>
    <t>Taj Gibson</t>
  </si>
  <si>
    <t>Kevin Durant</t>
  </si>
  <si>
    <t>Nicolas Batum</t>
  </si>
  <si>
    <t>Jahlil Okafor</t>
  </si>
  <si>
    <t>Evan Fournier</t>
  </si>
  <si>
    <t>Dwight Howard</t>
  </si>
  <si>
    <t>Andre Iguodala</t>
  </si>
  <si>
    <t>Leandro Barbosa</t>
  </si>
  <si>
    <t>Cory Joseph</t>
  </si>
  <si>
    <t>Dwight Powell</t>
  </si>
  <si>
    <t>Jason Terry</t>
  </si>
  <si>
    <t>D.J. Augustin</t>
  </si>
  <si>
    <t>Tim Hardaway Jr.</t>
  </si>
  <si>
    <t>Alec Burks</t>
  </si>
  <si>
    <t>Michael Kidd-Gilchrist</t>
  </si>
  <si>
    <t>Matthew Dellavedova</t>
  </si>
  <si>
    <t>Dirk Nowitzki</t>
  </si>
  <si>
    <t>Wayne Ellington</t>
  </si>
  <si>
    <t>Trey Lyles</t>
  </si>
  <si>
    <t>Nik Stauskas</t>
  </si>
  <si>
    <t>Michael Beasley</t>
  </si>
  <si>
    <t>Myles Turner</t>
  </si>
  <si>
    <t>Willie Reed</t>
  </si>
  <si>
    <t>Andre Drummond</t>
  </si>
  <si>
    <t>Al Horford</t>
  </si>
  <si>
    <t>Marcus Morris</t>
  </si>
  <si>
    <t>Isaiah Whitehead</t>
  </si>
  <si>
    <t>Doug McDermott</t>
  </si>
  <si>
    <t>T.J. McConnell</t>
  </si>
  <si>
    <t>Gary Harris</t>
  </si>
  <si>
    <t>Jeremy Lamb</t>
  </si>
  <si>
    <t>Victor Oladipo</t>
  </si>
  <si>
    <t>Elfrid Payton</t>
  </si>
  <si>
    <t>Andrew Wiggins</t>
  </si>
  <si>
    <t>Brook Lopez</t>
  </si>
  <si>
    <t>Solomon Hill</t>
  </si>
  <si>
    <t>Zach Randolph</t>
  </si>
  <si>
    <t>Wes Matthews</t>
  </si>
  <si>
    <t>Jeff Teague</t>
  </si>
  <si>
    <t>T.J. Warren</t>
  </si>
  <si>
    <t>Randy Foye</t>
  </si>
  <si>
    <t>Paul Millsap</t>
  </si>
  <si>
    <t>Joffrey Lauvergne</t>
  </si>
  <si>
    <t>Anthony Morrow</t>
  </si>
  <si>
    <t>George Hill</t>
  </si>
  <si>
    <t>Jusuf Nurkic</t>
  </si>
  <si>
    <t>Rodney Stuckey</t>
  </si>
  <si>
    <t>Ian Clark</t>
  </si>
  <si>
    <t>Nikola Mirotic</t>
  </si>
  <si>
    <t>Patrick McCaw</t>
  </si>
  <si>
    <t>Mike Muscala</t>
  </si>
  <si>
    <t>Tony Allen</t>
  </si>
  <si>
    <t>Wilson Chandler</t>
  </si>
  <si>
    <t>Jeff Green</t>
  </si>
  <si>
    <t>Steven Adams</t>
  </si>
  <si>
    <t>Jon Leuer</t>
  </si>
  <si>
    <t>James Michael McAdoo</t>
  </si>
  <si>
    <t>Aaron Gordon</t>
  </si>
  <si>
    <t>Nerlens Noel</t>
  </si>
  <si>
    <t>C.J. Watson</t>
  </si>
  <si>
    <t>Lavoy Allen</t>
  </si>
  <si>
    <t>Semaj Christon</t>
  </si>
  <si>
    <t>Spencer Dinwiddie</t>
  </si>
  <si>
    <t>Giannis Antetokounmpo</t>
  </si>
  <si>
    <t>Dennis Schroder</t>
  </si>
  <si>
    <t>Monta Ellis</t>
  </si>
  <si>
    <t>Dante Cunningham</t>
  </si>
  <si>
    <t>Gorgui Dieng</t>
  </si>
  <si>
    <t>Carmelo Anthony</t>
  </si>
  <si>
    <t>Tyson Chandler</t>
  </si>
  <si>
    <t>John</t>
  </si>
  <si>
    <t>IND</t>
  </si>
  <si>
    <t>BOS</t>
  </si>
  <si>
    <t>George</t>
  </si>
  <si>
    <t>Bradley</t>
  </si>
  <si>
    <t>Morris</t>
  </si>
  <si>
    <t>Jeff</t>
  </si>
  <si>
    <t>Teague</t>
  </si>
  <si>
    <t>Al</t>
  </si>
  <si>
    <t>Myles</t>
  </si>
  <si>
    <t>Turner</t>
  </si>
  <si>
    <t>Marcus</t>
  </si>
  <si>
    <t>Thaddeus</t>
  </si>
  <si>
    <t>Kelly</t>
  </si>
  <si>
    <t>Seraphin</t>
  </si>
  <si>
    <t>Monta</t>
  </si>
  <si>
    <t>Ellis</t>
  </si>
  <si>
    <t>Lavoy</t>
  </si>
  <si>
    <t>Allen</t>
  </si>
  <si>
    <t>C.J.</t>
  </si>
  <si>
    <t>Miles</t>
  </si>
  <si>
    <t>Johnson</t>
  </si>
  <si>
    <t>Rodney</t>
  </si>
  <si>
    <t>Stuckey</t>
  </si>
  <si>
    <t>Jason</t>
  </si>
  <si>
    <t>Brown</t>
  </si>
  <si>
    <t>Joe</t>
  </si>
  <si>
    <t>Demetrius</t>
  </si>
  <si>
    <t>Jackson</t>
  </si>
  <si>
    <t>Terry</t>
  </si>
  <si>
    <t>Rozier</t>
  </si>
  <si>
    <t>Aaron</t>
  </si>
  <si>
    <t>Brooks</t>
  </si>
  <si>
    <t>Rakeem</t>
  </si>
  <si>
    <t>Christmas</t>
  </si>
  <si>
    <t>Tyler</t>
  </si>
  <si>
    <t>Zeller</t>
  </si>
  <si>
    <t>Ian</t>
  </si>
  <si>
    <t>Trey</t>
  </si>
  <si>
    <t>Jerebko</t>
  </si>
  <si>
    <t>Georges</t>
  </si>
  <si>
    <t>Niang</t>
  </si>
  <si>
    <t>Glenn</t>
  </si>
  <si>
    <t>Robinson III</t>
  </si>
  <si>
    <t>Gerald</t>
  </si>
  <si>
    <t>Green</t>
  </si>
  <si>
    <t>NY@OKC</t>
  </si>
  <si>
    <t>OKC</t>
  </si>
  <si>
    <t>NY</t>
  </si>
  <si>
    <t>MIA@HOU</t>
  </si>
  <si>
    <t>HOU</t>
  </si>
  <si>
    <t>MIA</t>
  </si>
  <si>
    <t>IND@CLE</t>
  </si>
  <si>
    <t>SAC@GS</t>
  </si>
  <si>
    <t>GS</t>
  </si>
  <si>
    <t>Jokic</t>
  </si>
  <si>
    <t>MIN@DEN</t>
  </si>
  <si>
    <t>DEN</t>
  </si>
  <si>
    <t>Davis</t>
  </si>
  <si>
    <t>NO@MEM</t>
  </si>
  <si>
    <t>NO</t>
  </si>
  <si>
    <t>MEM</t>
  </si>
  <si>
    <t>Giannis</t>
  </si>
  <si>
    <t>Antetokounmpo</t>
  </si>
  <si>
    <t>MIL@BKN</t>
  </si>
  <si>
    <t>MIL</t>
  </si>
  <si>
    <t>BKN</t>
  </si>
  <si>
    <t>Durant</t>
  </si>
  <si>
    <t>PHI@BOS</t>
  </si>
  <si>
    <t>PHI</t>
  </si>
  <si>
    <t>Kawhi</t>
  </si>
  <si>
    <t>Leonard</t>
  </si>
  <si>
    <t>SA@ORL</t>
  </si>
  <si>
    <t>SA</t>
  </si>
  <si>
    <t>ORL</t>
  </si>
  <si>
    <t>ATL@LAC</t>
  </si>
  <si>
    <t>LAC</t>
  </si>
  <si>
    <t>ATL</t>
  </si>
  <si>
    <t>Stephen</t>
  </si>
  <si>
    <t>Curry</t>
  </si>
  <si>
    <t>Eric</t>
  </si>
  <si>
    <t>Bledsoe</t>
  </si>
  <si>
    <t>LAL@PHO</t>
  </si>
  <si>
    <t>PHO</t>
  </si>
  <si>
    <t>Hassan</t>
  </si>
  <si>
    <t>Whiteside</t>
  </si>
  <si>
    <t>CHA@TOR</t>
  </si>
  <si>
    <t>CHA</t>
  </si>
  <si>
    <t>Joel</t>
  </si>
  <si>
    <t>Andre</t>
  </si>
  <si>
    <t>Drummond</t>
  </si>
  <si>
    <t>DAL@DET</t>
  </si>
  <si>
    <t>DET</t>
  </si>
  <si>
    <t>DAL</t>
  </si>
  <si>
    <t>Marc</t>
  </si>
  <si>
    <t>Gasol</t>
  </si>
  <si>
    <t>Chris</t>
  </si>
  <si>
    <t>Carmelo</t>
  </si>
  <si>
    <t>Damian</t>
  </si>
  <si>
    <t>POR@UTA</t>
  </si>
  <si>
    <t>POR</t>
  </si>
  <si>
    <t>UTA</t>
  </si>
  <si>
    <t>Jrue</t>
  </si>
  <si>
    <t>Holiday</t>
  </si>
  <si>
    <t>Draymond</t>
  </si>
  <si>
    <t>Millsap</t>
  </si>
  <si>
    <t>Goran</t>
  </si>
  <si>
    <t>Dragic</t>
  </si>
  <si>
    <t>Mike</t>
  </si>
  <si>
    <t>Conley</t>
  </si>
  <si>
    <t>Nicolas</t>
  </si>
  <si>
    <t>Dwight</t>
  </si>
  <si>
    <t>Howard</t>
  </si>
  <si>
    <t>LaMarcus</t>
  </si>
  <si>
    <t>Aldridge</t>
  </si>
  <si>
    <t>Brook</t>
  </si>
  <si>
    <t>Dion</t>
  </si>
  <si>
    <t>Waiters</t>
  </si>
  <si>
    <t>Klay</t>
  </si>
  <si>
    <t>Danilo</t>
  </si>
  <si>
    <t>Gallinari</t>
  </si>
  <si>
    <t>Groin</t>
  </si>
  <si>
    <t>Kristaps</t>
  </si>
  <si>
    <t>Porzingis</t>
  </si>
  <si>
    <t>Devin</t>
  </si>
  <si>
    <t>Booker</t>
  </si>
  <si>
    <t>Wilson</t>
  </si>
  <si>
    <t>Chandler</t>
  </si>
  <si>
    <t>Greg</t>
  </si>
  <si>
    <t>Monroe</t>
  </si>
  <si>
    <t>Dennis</t>
  </si>
  <si>
    <t>Schroder</t>
  </si>
  <si>
    <t>Jeremy</t>
  </si>
  <si>
    <t>Lin</t>
  </si>
  <si>
    <t>Will</t>
  </si>
  <si>
    <t>Barton</t>
  </si>
  <si>
    <t>Pau</t>
  </si>
  <si>
    <t>Finger</t>
  </si>
  <si>
    <t>Harrison</t>
  </si>
  <si>
    <t>Kenneth</t>
  </si>
  <si>
    <t>Faried</t>
  </si>
  <si>
    <t>Plumlee</t>
  </si>
  <si>
    <t>Rose</t>
  </si>
  <si>
    <t>Zach</t>
  </si>
  <si>
    <t>Randolph</t>
  </si>
  <si>
    <t>Tim</t>
  </si>
  <si>
    <t>Hardaway Jr.</t>
  </si>
  <si>
    <t>Guillermo</t>
  </si>
  <si>
    <t>Hernangomez</t>
  </si>
  <si>
    <t>T.J.</t>
  </si>
  <si>
    <t>Tobias</t>
  </si>
  <si>
    <t>Harris</t>
  </si>
  <si>
    <t>Trevor</t>
  </si>
  <si>
    <t>Reggie</t>
  </si>
  <si>
    <t>Jameer</t>
  </si>
  <si>
    <t>Nelson</t>
  </si>
  <si>
    <t>Josh</t>
  </si>
  <si>
    <t>Tyson</t>
  </si>
  <si>
    <t>David</t>
  </si>
  <si>
    <t>Lee</t>
  </si>
  <si>
    <t>Gary</t>
  </si>
  <si>
    <t>Malcolm</t>
  </si>
  <si>
    <t>Brogdon</t>
  </si>
  <si>
    <t>Jennings</t>
  </si>
  <si>
    <t>Simmons</t>
  </si>
  <si>
    <t>Jamal</t>
  </si>
  <si>
    <t>Kentavious</t>
  </si>
  <si>
    <t>Caldwell-Pope</t>
  </si>
  <si>
    <t>Kent</t>
  </si>
  <si>
    <t>Bazemore</t>
  </si>
  <si>
    <t>Beasley</t>
  </si>
  <si>
    <t>Emmanuel</t>
  </si>
  <si>
    <t>Mudiay</t>
  </si>
  <si>
    <t>P.J.</t>
  </si>
  <si>
    <t>Tucker</t>
  </si>
  <si>
    <t>Hand</t>
  </si>
  <si>
    <t>Tony</t>
  </si>
  <si>
    <t>Calf</t>
  </si>
  <si>
    <t>Spencer</t>
  </si>
  <si>
    <t>Hawes</t>
  </si>
  <si>
    <t>Ryan</t>
  </si>
  <si>
    <t>Anderson</t>
  </si>
  <si>
    <t>Maurice</t>
  </si>
  <si>
    <t>Rondae</t>
  </si>
  <si>
    <t>Hollis-Jefferson</t>
  </si>
  <si>
    <t>Jon</t>
  </si>
  <si>
    <t>Leuer</t>
  </si>
  <si>
    <t>Courtney</t>
  </si>
  <si>
    <t>Tyreke</t>
  </si>
  <si>
    <t>Evans</t>
  </si>
  <si>
    <t>Warren</t>
  </si>
  <si>
    <t>Bojan</t>
  </si>
  <si>
    <t>Bogdanovic</t>
  </si>
  <si>
    <t>Zaza</t>
  </si>
  <si>
    <t>Pachulia</t>
  </si>
  <si>
    <t>Shoulder</t>
  </si>
  <si>
    <t>Iguodala</t>
  </si>
  <si>
    <t>O'Quinn</t>
  </si>
  <si>
    <t>JaMychal</t>
  </si>
  <si>
    <t>Ish</t>
  </si>
  <si>
    <t>Parker</t>
  </si>
  <si>
    <t>Khris</t>
  </si>
  <si>
    <t>Middleton</t>
  </si>
  <si>
    <t>Dewayne</t>
  </si>
  <si>
    <t>Dedmon</t>
  </si>
  <si>
    <t>Caris</t>
  </si>
  <si>
    <t>LeVert</t>
  </si>
  <si>
    <t>Darrell</t>
  </si>
  <si>
    <t>Arthur</t>
  </si>
  <si>
    <t>Snell</t>
  </si>
  <si>
    <t>Juancho</t>
  </si>
  <si>
    <t>Solomon</t>
  </si>
  <si>
    <t>Sean</t>
  </si>
  <si>
    <t>Kilpatrick</t>
  </si>
  <si>
    <t>Shaun</t>
  </si>
  <si>
    <t>Livingston</t>
  </si>
  <si>
    <t>Danny</t>
  </si>
  <si>
    <t>Murray</t>
  </si>
  <si>
    <t>E'Twaun</t>
  </si>
  <si>
    <t>Moore</t>
  </si>
  <si>
    <t>Joakim</t>
  </si>
  <si>
    <t>Noah</t>
  </si>
  <si>
    <t>McGruder</t>
  </si>
  <si>
    <t>Matthew</t>
  </si>
  <si>
    <t>Dellavedova</t>
  </si>
  <si>
    <t>Ulis</t>
  </si>
  <si>
    <t>Marquese</t>
  </si>
  <si>
    <t>Chriss</t>
  </si>
  <si>
    <t>Alex</t>
  </si>
  <si>
    <t>Len</t>
  </si>
  <si>
    <t>Henson</t>
  </si>
  <si>
    <t>Mirza</t>
  </si>
  <si>
    <t>Teletovic</t>
  </si>
  <si>
    <t>Dante</t>
  </si>
  <si>
    <t>Cunningham</t>
  </si>
  <si>
    <t>Buddy</t>
  </si>
  <si>
    <t>Hield</t>
  </si>
  <si>
    <t>Alan</t>
  </si>
  <si>
    <t>Dinwiddie</t>
  </si>
  <si>
    <t>Parsons</t>
  </si>
  <si>
    <t>McCaw</t>
  </si>
  <si>
    <t>Rashad</t>
  </si>
  <si>
    <t>Vaughn</t>
  </si>
  <si>
    <t>Clark</t>
  </si>
  <si>
    <t>Justin</t>
  </si>
  <si>
    <t>Hamilton</t>
  </si>
  <si>
    <t>Thabo</t>
  </si>
  <si>
    <t>Sefolosha</t>
  </si>
  <si>
    <t>Vince</t>
  </si>
  <si>
    <t>Carter</t>
  </si>
  <si>
    <t>JaVale</t>
  </si>
  <si>
    <t>McGee</t>
  </si>
  <si>
    <t>Toney</t>
  </si>
  <si>
    <t>Douglas</t>
  </si>
  <si>
    <t>Cheick</t>
  </si>
  <si>
    <t>Diallo</t>
  </si>
  <si>
    <t>Brandan</t>
  </si>
  <si>
    <t>Wayne</t>
  </si>
  <si>
    <t>Ellington</t>
  </si>
  <si>
    <t>Taurean</t>
  </si>
  <si>
    <t>Prince</t>
  </si>
  <si>
    <t>Aron</t>
  </si>
  <si>
    <t>Baynes</t>
  </si>
  <si>
    <t>Greivis</t>
  </si>
  <si>
    <t>Vasquez</t>
  </si>
  <si>
    <t>Luke</t>
  </si>
  <si>
    <t>Babbitt</t>
  </si>
  <si>
    <t>Ennis III</t>
  </si>
  <si>
    <t>McCullough</t>
  </si>
  <si>
    <t>Quincy</t>
  </si>
  <si>
    <t>Acy</t>
  </si>
  <si>
    <t>Baldwin IV</t>
  </si>
  <si>
    <t>Dejounte</t>
  </si>
  <si>
    <t>Tiago</t>
  </si>
  <si>
    <t>Splitter</t>
  </si>
  <si>
    <t>Omer</t>
  </si>
  <si>
    <t>Asik</t>
  </si>
  <si>
    <t>18009-21665</t>
  </si>
  <si>
    <t>18009-70819</t>
  </si>
  <si>
    <t>Dragan</t>
  </si>
  <si>
    <t>Bender</t>
  </si>
  <si>
    <t>18009-23716</t>
  </si>
  <si>
    <t>18009-70821</t>
  </si>
  <si>
    <t>18009-70820</t>
  </si>
  <si>
    <t>Thon</t>
  </si>
  <si>
    <t>Maker</t>
  </si>
  <si>
    <t>18009-70825</t>
  </si>
  <si>
    <t>Timothe</t>
  </si>
  <si>
    <t>Luwawu-Cabarrot</t>
  </si>
  <si>
    <t>18009-14506</t>
  </si>
  <si>
    <t>Knight</t>
  </si>
  <si>
    <t>18009-15532</t>
  </si>
  <si>
    <t>K.J.</t>
  </si>
  <si>
    <t>McDaniels</t>
  </si>
  <si>
    <t>18009-14510</t>
  </si>
  <si>
    <t>Alec</t>
  </si>
  <si>
    <t>Burks</t>
  </si>
  <si>
    <t>18009-14519</t>
  </si>
  <si>
    <t>Donatas</t>
  </si>
  <si>
    <t>Motiejunas</t>
  </si>
  <si>
    <t>18009-49336</t>
  </si>
  <si>
    <t>DeAndre'</t>
  </si>
  <si>
    <t>Bembry</t>
  </si>
  <si>
    <t>18009-23744</t>
  </si>
  <si>
    <t>18009-14529</t>
  </si>
  <si>
    <t>18009-14532</t>
  </si>
  <si>
    <t>Singler</t>
  </si>
  <si>
    <t>18009-14533</t>
  </si>
  <si>
    <t>Shelvin</t>
  </si>
  <si>
    <t>Mack</t>
  </si>
  <si>
    <t>18009-23750</t>
  </si>
  <si>
    <t>Tobey</t>
  </si>
  <si>
    <t>18009-22727</t>
  </si>
  <si>
    <t>Ron</t>
  </si>
  <si>
    <t>Baker</t>
  </si>
  <si>
    <t>18009-15560</t>
  </si>
  <si>
    <t>Napier</t>
  </si>
  <si>
    <t>18009-23757</t>
  </si>
  <si>
    <t>Brian</t>
  </si>
  <si>
    <t>Roberts</t>
  </si>
  <si>
    <t>18009-14543</t>
  </si>
  <si>
    <t>Bertans</t>
  </si>
  <si>
    <t>18009-58576</t>
  </si>
  <si>
    <t>Kevon</t>
  </si>
  <si>
    <t>Looney</t>
  </si>
  <si>
    <t>18009-16604</t>
  </si>
  <si>
    <t>18009-15585</t>
  </si>
  <si>
    <t>Gbinije</t>
  </si>
  <si>
    <t>18009-15587</t>
  </si>
  <si>
    <t>18009-23780</t>
  </si>
  <si>
    <t>Jake</t>
  </si>
  <si>
    <t>Layman</t>
  </si>
  <si>
    <t>18009-15589</t>
  </si>
  <si>
    <t>Marshall</t>
  </si>
  <si>
    <t>18009-15591</t>
  </si>
  <si>
    <t>18009-23788</t>
  </si>
  <si>
    <t>Bryn</t>
  </si>
  <si>
    <t>Forbes</t>
  </si>
  <si>
    <t>18009-9459</t>
  </si>
  <si>
    <t>Pierce</t>
  </si>
  <si>
    <t>18009-23800</t>
  </si>
  <si>
    <t>18009-9466</t>
  </si>
  <si>
    <t>D.J.</t>
  </si>
  <si>
    <t>Augustin</t>
  </si>
  <si>
    <t>18009-23802</t>
  </si>
  <si>
    <t>18009-9471</t>
  </si>
  <si>
    <t>Boris</t>
  </si>
  <si>
    <t>Diaw</t>
  </si>
  <si>
    <t>18009-15620</t>
  </si>
  <si>
    <t>Okaro</t>
  </si>
  <si>
    <t>White</t>
  </si>
  <si>
    <t>18009-40206</t>
  </si>
  <si>
    <t>Abrines</t>
  </si>
  <si>
    <t>18009-23824</t>
  </si>
  <si>
    <t>Archie</t>
  </si>
  <si>
    <t>Goodwin</t>
  </si>
  <si>
    <t>18009-40208</t>
  </si>
  <si>
    <t>Raul</t>
  </si>
  <si>
    <t>Neto</t>
  </si>
  <si>
    <t>18009-9490</t>
  </si>
  <si>
    <t>Varejao</t>
  </si>
  <si>
    <t>18009-9496</t>
  </si>
  <si>
    <t>18009-9501</t>
  </si>
  <si>
    <t>Humphries</t>
  </si>
  <si>
    <t>18009-9506</t>
  </si>
  <si>
    <t>18009-9507</t>
  </si>
  <si>
    <t>18009-15669</t>
  </si>
  <si>
    <t>Meyers</t>
  </si>
  <si>
    <t>18009-41269</t>
  </si>
  <si>
    <t>18009-9529</t>
  </si>
  <si>
    <t>Morrow</t>
  </si>
  <si>
    <t>18009-9534</t>
  </si>
  <si>
    <t>18009-20805</t>
  </si>
  <si>
    <t>Troy</t>
  </si>
  <si>
    <t>Daniels</t>
  </si>
  <si>
    <t>18009-9542</t>
  </si>
  <si>
    <t>Luis</t>
  </si>
  <si>
    <t>Scola</t>
  </si>
  <si>
    <t>18009-20806</t>
  </si>
  <si>
    <t>Treveon</t>
  </si>
  <si>
    <t>Graham</t>
  </si>
  <si>
    <t>18009-9547</t>
  </si>
  <si>
    <t>Dunleavy</t>
  </si>
  <si>
    <t>18009-9549</t>
  </si>
  <si>
    <t>18009-9553</t>
  </si>
  <si>
    <t>Roy</t>
  </si>
  <si>
    <t>Hibbert</t>
  </si>
  <si>
    <t>18009-63826</t>
  </si>
  <si>
    <t>Boban</t>
  </si>
  <si>
    <t>Marjanovic</t>
  </si>
  <si>
    <t>18009-9567</t>
  </si>
  <si>
    <t>Sasha</t>
  </si>
  <si>
    <t>Vujacic</t>
  </si>
  <si>
    <t>18009-9568</t>
  </si>
  <si>
    <t>18009-15730</t>
  </si>
  <si>
    <t>18009-74101</t>
  </si>
  <si>
    <t>18009-9589</t>
  </si>
  <si>
    <t>Udonis</t>
  </si>
  <si>
    <t>Haslem</t>
  </si>
  <si>
    <t>18009-15736</t>
  </si>
  <si>
    <t>Withey</t>
  </si>
  <si>
    <t>18009-9605</t>
  </si>
  <si>
    <t>Ramon</t>
  </si>
  <si>
    <t>Sessions</t>
  </si>
  <si>
    <t>18009-18821</t>
  </si>
  <si>
    <t>Jonathon</t>
  </si>
  <si>
    <t>18009-9606</t>
  </si>
  <si>
    <t>Corey</t>
  </si>
  <si>
    <t>Brewer</t>
  </si>
  <si>
    <t>18009-9609</t>
  </si>
  <si>
    <t>18009-18828</t>
  </si>
  <si>
    <t>18009-15767</t>
  </si>
  <si>
    <t>Wiltjer</t>
  </si>
  <si>
    <t>18009-66966</t>
  </si>
  <si>
    <t>Zimmerman Jr.</t>
  </si>
  <si>
    <t>18009-66968</t>
  </si>
  <si>
    <t>Jones Jr.</t>
  </si>
  <si>
    <t>18009-9629</t>
  </si>
  <si>
    <t>West</t>
  </si>
  <si>
    <t>18009-9648</t>
  </si>
  <si>
    <t>18009-9649</t>
  </si>
  <si>
    <t>18009-74164</t>
  </si>
  <si>
    <t>Laprovittola</t>
  </si>
  <si>
    <t>18009-48567</t>
  </si>
  <si>
    <t>Cameron</t>
  </si>
  <si>
    <t>18009-9659</t>
  </si>
  <si>
    <t>Bass</t>
  </si>
  <si>
    <t>18009-9674</t>
  </si>
  <si>
    <t>Leandro</t>
  </si>
  <si>
    <t>Barbosa</t>
  </si>
  <si>
    <t>18009-9677</t>
  </si>
  <si>
    <t>Dudley</t>
  </si>
  <si>
    <t>18009-16859</t>
  </si>
  <si>
    <t>18009-9693</t>
  </si>
  <si>
    <t>Beno</t>
  </si>
  <si>
    <t>Udrih</t>
  </si>
  <si>
    <t>18009-17894</t>
  </si>
  <si>
    <t>Muscala</t>
  </si>
  <si>
    <t>18009-9704</t>
  </si>
  <si>
    <t>Manu</t>
  </si>
  <si>
    <t>Ginobili</t>
  </si>
  <si>
    <t>18009-9712</t>
  </si>
  <si>
    <t>18009-15864</t>
  </si>
  <si>
    <t>18009-9723</t>
  </si>
  <si>
    <t>Ronnie</t>
  </si>
  <si>
    <t>Price</t>
  </si>
  <si>
    <t>18009-9731</t>
  </si>
  <si>
    <t>18009-9733</t>
  </si>
  <si>
    <t>Randy</t>
  </si>
  <si>
    <t>Foye</t>
  </si>
  <si>
    <t>18009-9734</t>
  </si>
  <si>
    <t>Miller</t>
  </si>
  <si>
    <t>18009-66064</t>
  </si>
  <si>
    <t>Malik</t>
  </si>
  <si>
    <t>18009-9752</t>
  </si>
  <si>
    <t>18009-9783</t>
  </si>
  <si>
    <t>18009-9785</t>
  </si>
  <si>
    <t>18009-66109</t>
  </si>
  <si>
    <t>18009-9796</t>
  </si>
  <si>
    <t>Luc Richard</t>
  </si>
  <si>
    <t>Mbah a Moute</t>
  </si>
  <si>
    <t>18009-66117</t>
  </si>
  <si>
    <t>Diamond</t>
  </si>
  <si>
    <t>Stone</t>
  </si>
  <si>
    <t>18009-15947</t>
  </si>
  <si>
    <t>Bullock</t>
  </si>
  <si>
    <t>18009-9804</t>
  </si>
  <si>
    <t>Alexis</t>
  </si>
  <si>
    <t>Ajinca</t>
  </si>
  <si>
    <t>18009-66129</t>
  </si>
  <si>
    <t>Deyonta</t>
  </si>
  <si>
    <t>18009-15955</t>
  </si>
  <si>
    <t>James Michael</t>
  </si>
  <si>
    <t>McAdoo</t>
  </si>
  <si>
    <t>18009-15961</t>
  </si>
  <si>
    <t>18009-23148</t>
  </si>
  <si>
    <t>Semaj</t>
  </si>
  <si>
    <t>Christon</t>
  </si>
  <si>
    <t>18009-23156</t>
  </si>
  <si>
    <t>18009-60021</t>
  </si>
  <si>
    <t>18009-9849</t>
  </si>
  <si>
    <t>18009-15993</t>
  </si>
  <si>
    <t>Pat</t>
  </si>
  <si>
    <t>Connaughton</t>
  </si>
  <si>
    <t>18009-16008</t>
  </si>
  <si>
    <t>18009-23189</t>
  </si>
  <si>
    <t>Bolomboy</t>
  </si>
  <si>
    <t>18009-66203</t>
  </si>
  <si>
    <t>18009-48799</t>
  </si>
  <si>
    <t>Ndour</t>
  </si>
  <si>
    <t>18009-42661</t>
  </si>
  <si>
    <t>Vonleh</t>
  </si>
  <si>
    <t>18009-42662</t>
  </si>
  <si>
    <t>18009-9895</t>
  </si>
  <si>
    <t>Steve</t>
  </si>
  <si>
    <t>Novak</t>
  </si>
  <si>
    <t>18009-42664</t>
  </si>
  <si>
    <t>18009-42665</t>
  </si>
  <si>
    <t>18009-42671</t>
  </si>
  <si>
    <t>18009-71345</t>
  </si>
  <si>
    <t>Mindaugas</t>
  </si>
  <si>
    <t>Kuzminskas</t>
  </si>
  <si>
    <t>18009-42677</t>
  </si>
  <si>
    <t>18009-42689</t>
  </si>
  <si>
    <t>Ennis</t>
  </si>
  <si>
    <t>18009-16071</t>
  </si>
  <si>
    <t>Frazier</t>
  </si>
  <si>
    <t>18009-9939</t>
  </si>
  <si>
    <t>Patty</t>
  </si>
  <si>
    <t>Mills</t>
  </si>
  <si>
    <t>18009-16089</t>
  </si>
  <si>
    <t>Lamar</t>
  </si>
  <si>
    <t>18009-58081</t>
  </si>
  <si>
    <t>18009-23273</t>
  </si>
  <si>
    <t>A.J.</t>
  </si>
  <si>
    <t>Hammons</t>
  </si>
  <si>
    <t>18009-9962</t>
  </si>
  <si>
    <t>18009-71420</t>
  </si>
  <si>
    <t>Sergio</t>
  </si>
  <si>
    <t>Rodriguez</t>
  </si>
  <si>
    <t>18009-55057</t>
  </si>
  <si>
    <t>Jusuf</t>
  </si>
  <si>
    <t>Nurkic</t>
  </si>
  <si>
    <t>18009-55063</t>
  </si>
  <si>
    <t>Edy</t>
  </si>
  <si>
    <t>Tavares</t>
  </si>
  <si>
    <t>18009-71467</t>
  </si>
  <si>
    <t>Delaney</t>
  </si>
  <si>
    <t>18009-71468</t>
  </si>
  <si>
    <t>Jonathan</t>
  </si>
  <si>
    <t>18009-34615</t>
  </si>
  <si>
    <t>Reed</t>
  </si>
  <si>
    <t>18009-16188</t>
  </si>
  <si>
    <t>18009-16191</t>
  </si>
  <si>
    <t>Huestis</t>
  </si>
  <si>
    <t>18009-16196</t>
  </si>
  <si>
    <t>18009-16197</t>
  </si>
  <si>
    <t>Chasson</t>
  </si>
  <si>
    <t>18009-16202</t>
  </si>
  <si>
    <t>18009-17230</t>
  </si>
  <si>
    <t>Langston</t>
  </si>
  <si>
    <t>Galloway</t>
  </si>
  <si>
    <t>18009-16230</t>
  </si>
  <si>
    <t>18009-40819</t>
  </si>
  <si>
    <t>Jarell</t>
  </si>
  <si>
    <t>Martin</t>
  </si>
  <si>
    <t>18009-40830</t>
  </si>
  <si>
    <t>18009-58247</t>
  </si>
  <si>
    <t>Whitehead</t>
  </si>
  <si>
    <t>18009-66455</t>
  </si>
  <si>
    <t>Henry</t>
  </si>
  <si>
    <t>Ellenson</t>
  </si>
  <si>
    <t>18009-23447</t>
  </si>
  <si>
    <t>Richaun</t>
  </si>
  <si>
    <t>Holmes</t>
  </si>
  <si>
    <t>18009-18352</t>
  </si>
  <si>
    <t>Ray</t>
  </si>
  <si>
    <t>McCallum</t>
  </si>
  <si>
    <t>18009-16331</t>
  </si>
  <si>
    <t>Festus</t>
  </si>
  <si>
    <t>Ezeli</t>
  </si>
  <si>
    <t>18009-66521</t>
  </si>
  <si>
    <t>18009-16348</t>
  </si>
  <si>
    <t>Darrun</t>
  </si>
  <si>
    <t>Hilliard</t>
  </si>
  <si>
    <t>18009-16363</t>
  </si>
  <si>
    <t>18009-58350</t>
  </si>
  <si>
    <t>Stanley</t>
  </si>
  <si>
    <t>18009-16368</t>
  </si>
  <si>
    <t>Scott</t>
  </si>
  <si>
    <t>18009-16376</t>
  </si>
  <si>
    <t>Dorian</t>
  </si>
  <si>
    <t>Finney-Smith</t>
  </si>
  <si>
    <t>Khris Middleton</t>
  </si>
  <si>
    <t>Alexis Ajinca</t>
  </si>
  <si>
    <t>Patty Mills</t>
  </si>
  <si>
    <t>Matt Barnes</t>
  </si>
  <si>
    <t>Alex Len</t>
  </si>
  <si>
    <t>Wesley Johnson</t>
  </si>
  <si>
    <t>Jameer Nelson</t>
  </si>
  <si>
    <t>Toney Douglas</t>
  </si>
  <si>
    <t>Derrick Rose</t>
  </si>
  <si>
    <t>Malachi Richardson</t>
  </si>
  <si>
    <t>Robert Covington</t>
  </si>
  <si>
    <t>Willie Cauley-Stein</t>
  </si>
  <si>
    <t>Brandon Knight</t>
  </si>
  <si>
    <t>Kelly Olynyk</t>
  </si>
  <si>
    <t>Delon Wright</t>
  </si>
  <si>
    <t>Dewayne Dedmon</t>
  </si>
  <si>
    <t>Kris Dunn</t>
  </si>
  <si>
    <t>Joe Harris</t>
  </si>
  <si>
    <t>D'Angelo Russell</t>
  </si>
  <si>
    <t>Kemba Walker</t>
  </si>
  <si>
    <t>James Harden</t>
  </si>
  <si>
    <t>Julius Randle</t>
  </si>
  <si>
    <t>Ryan Anderson</t>
  </si>
  <si>
    <t>Reggie Jackson</t>
  </si>
  <si>
    <t>Will Barton</t>
  </si>
  <si>
    <t>Lou Williams</t>
  </si>
  <si>
    <t>Nene Hilario</t>
  </si>
  <si>
    <t>James Young</t>
  </si>
  <si>
    <t>Meyers Leonard</t>
  </si>
  <si>
    <t>Tony Parker</t>
  </si>
  <si>
    <t>Kevon Looney</t>
  </si>
  <si>
    <t>LaMarcus Aldridge</t>
  </si>
  <si>
    <t>Kyle Anderson</t>
  </si>
  <si>
    <t>Dante Exum</t>
  </si>
  <si>
    <t>Mason Plumlee</t>
  </si>
  <si>
    <t>Brandon Rush</t>
  </si>
  <si>
    <t>Daniel Green</t>
  </si>
  <si>
    <t>Maurice Harkless</t>
  </si>
  <si>
    <t>Anthony Tolliver</t>
  </si>
  <si>
    <t>Andrew Bogut</t>
  </si>
  <si>
    <t>Tyreke Evans</t>
  </si>
  <si>
    <t>Jonas Valanciunas</t>
  </si>
  <si>
    <t>Deron Williams</t>
  </si>
  <si>
    <t>Nikola Jokic</t>
  </si>
  <si>
    <t>Ben McLemore</t>
  </si>
  <si>
    <t>Mario Hezonja</t>
  </si>
  <si>
    <t>Jonathon Simmons</t>
  </si>
  <si>
    <t>Pat Connaughton</t>
  </si>
  <si>
    <t>Jordan Clarkson</t>
  </si>
  <si>
    <t>Derrick Williams</t>
  </si>
  <si>
    <t>Domantas Sabonis</t>
  </si>
  <si>
    <t>Luol Deng</t>
  </si>
  <si>
    <t>Damian Lillard</t>
  </si>
  <si>
    <t>Larry Nance Jr.</t>
  </si>
  <si>
    <t>Donatas Motiejunas</t>
  </si>
  <si>
    <t>Kawhi Leonard</t>
  </si>
  <si>
    <t>Kyle O'Quinn</t>
  </si>
  <si>
    <t>Eric Gordon</t>
  </si>
  <si>
    <t>Corey Brewer</t>
  </si>
  <si>
    <t>Sam Dekker</t>
  </si>
  <si>
    <t>Shabazz Napier</t>
  </si>
  <si>
    <t>Ed Davis</t>
  </si>
  <si>
    <t>Taurean Prince</t>
  </si>
  <si>
    <t>Rashad Vaughn</t>
  </si>
  <si>
    <t>Malcolm Delaney</t>
  </si>
  <si>
    <t>Ivica Zubac</t>
  </si>
  <si>
    <t>Darren Collison</t>
  </si>
  <si>
    <t>Paul George</t>
  </si>
  <si>
    <t>Ron Baker</t>
  </si>
  <si>
    <t>Jakob Poeltl</t>
  </si>
  <si>
    <t>Troy Daniels</t>
  </si>
  <si>
    <t>Lamar Patterson</t>
  </si>
  <si>
    <t>Jared Dudley</t>
  </si>
  <si>
    <t>Clint Capela</t>
  </si>
  <si>
    <t>Derrick Favors</t>
  </si>
  <si>
    <t>David Lee</t>
  </si>
  <si>
    <t>Trevor Ariza</t>
  </si>
  <si>
    <t>DeMarcus Cousins</t>
  </si>
  <si>
    <t>Arron Afflalo</t>
  </si>
  <si>
    <t>Brandon Ingram</t>
  </si>
  <si>
    <t>Michael Carter-Williams</t>
  </si>
  <si>
    <t>Kosta Koufos</t>
  </si>
  <si>
    <t>Nick Young</t>
  </si>
  <si>
    <t>Rajon Rondo</t>
  </si>
  <si>
    <t>DeMar DeRozan</t>
  </si>
  <si>
    <t>Tarik Black</t>
  </si>
  <si>
    <t>Bobby Portis</t>
  </si>
  <si>
    <t>Denzel Valentine</t>
  </si>
  <si>
    <t>Timofey Mozgov</t>
  </si>
  <si>
    <t>Sean Kilpatrick</t>
  </si>
  <si>
    <t>Amir Johnson</t>
  </si>
  <si>
    <t>Brandan Wright</t>
  </si>
  <si>
    <t>Al-Farouq Aminu</t>
  </si>
  <si>
    <t>Otto Porter</t>
  </si>
  <si>
    <t>Trey Burke</t>
  </si>
  <si>
    <t>C.J. McCollum</t>
  </si>
  <si>
    <t>Kevin Seraphin</t>
  </si>
  <si>
    <t>Jason Smith</t>
  </si>
  <si>
    <t>Markieff Morris</t>
  </si>
  <si>
    <t>Bismack Biyombo</t>
  </si>
  <si>
    <t>Kyle Singler</t>
  </si>
  <si>
    <t>John Wall</t>
  </si>
  <si>
    <t>Gerald Green</t>
  </si>
  <si>
    <t>Boris Diaw</t>
  </si>
  <si>
    <t>Marcin Gortat</t>
  </si>
  <si>
    <t>Allen Crabbe</t>
  </si>
  <si>
    <t>Langston Galloway</t>
  </si>
  <si>
    <t>Alex Abrines</t>
  </si>
  <si>
    <t>Luis Scola</t>
  </si>
  <si>
    <t>Bradley Beal</t>
  </si>
  <si>
    <t>Richaun Holmes</t>
  </si>
  <si>
    <t>Mike Miller</t>
  </si>
  <si>
    <t>Noah Vonleh</t>
  </si>
  <si>
    <t>Damian Jones</t>
  </si>
  <si>
    <t>Ian Mahinmi</t>
  </si>
  <si>
    <t>Kelly Oubre Jr.</t>
  </si>
  <si>
    <t>Tomas Satoransky</t>
  </si>
  <si>
    <t>Alan Anderson</t>
  </si>
  <si>
    <t>Manu Ginobili</t>
  </si>
  <si>
    <t>Isaiah Canaan</t>
  </si>
  <si>
    <t>Davis Bertans</t>
  </si>
  <si>
    <t>Lance Stephenson</t>
  </si>
  <si>
    <t>Lance Thomas</t>
  </si>
  <si>
    <t>Tim Frazier</t>
  </si>
  <si>
    <t>Alan Williams</t>
  </si>
  <si>
    <t>Okaro White</t>
  </si>
  <si>
    <t>John Henson</t>
  </si>
  <si>
    <t>Mirza Teletovic</t>
  </si>
  <si>
    <t>Shaun Livingston</t>
  </si>
  <si>
    <t>17955-12362</t>
  </si>
  <si>
    <t>ATL@SAC</t>
  </si>
  <si>
    <t>17955-40199</t>
  </si>
  <si>
    <t>LAL@MIL</t>
  </si>
  <si>
    <t>17955-15755</t>
  </si>
  <si>
    <t>NO@MIN</t>
  </si>
  <si>
    <t>17955-58462</t>
  </si>
  <si>
    <t>17955-12332</t>
  </si>
  <si>
    <t>Wall</t>
  </si>
  <si>
    <t>IND@WAS</t>
  </si>
  <si>
    <t>WAS</t>
  </si>
  <si>
    <t>17955-9646</t>
  </si>
  <si>
    <t>GS@MEM</t>
  </si>
  <si>
    <t>17955-55062</t>
  </si>
  <si>
    <t>DEN@NY</t>
  </si>
  <si>
    <t>17955-14513</t>
  </si>
  <si>
    <t>SA@DET</t>
  </si>
  <si>
    <t>17955-14528</t>
  </si>
  <si>
    <t>Jimmy</t>
  </si>
  <si>
    <t>Butler</t>
  </si>
  <si>
    <t>CHI@PHO</t>
  </si>
  <si>
    <t>CHI</t>
  </si>
  <si>
    <t>17955-9524</t>
  </si>
  <si>
    <t>17955-12363</t>
  </si>
  <si>
    <t>MIA@BKN</t>
  </si>
  <si>
    <t>17955-12341</t>
  </si>
  <si>
    <t>17955-15557</t>
  </si>
  <si>
    <t>17955-9581</t>
  </si>
  <si>
    <t>17955-12355</t>
  </si>
  <si>
    <t>17955-9508</t>
  </si>
  <si>
    <t>17955-9673</t>
  </si>
  <si>
    <t>17955-9585</t>
  </si>
  <si>
    <t>Dwyane</t>
  </si>
  <si>
    <t>17955-15860</t>
  </si>
  <si>
    <t>17955-9663</t>
  </si>
  <si>
    <t>17955-9729</t>
  </si>
  <si>
    <t>17955-9446</t>
  </si>
  <si>
    <t>17955-49116</t>
  </si>
  <si>
    <t>17955-15595</t>
  </si>
  <si>
    <t>Beal</t>
  </si>
  <si>
    <t>17955-9688</t>
  </si>
  <si>
    <t>17955-9575</t>
  </si>
  <si>
    <t>17955-9621</t>
  </si>
  <si>
    <t>17955-16220</t>
  </si>
  <si>
    <t>17955-9660</t>
  </si>
  <si>
    <t>17955-9661</t>
  </si>
  <si>
    <t>Marcin</t>
  </si>
  <si>
    <t>Gortat</t>
  </si>
  <si>
    <t>17955-14511</t>
  </si>
  <si>
    <t>Markieff</t>
  </si>
  <si>
    <t>17955-9637</t>
  </si>
  <si>
    <t>17955-58460</t>
  </si>
  <si>
    <t>17955-63122</t>
  </si>
  <si>
    <t>17955-14509</t>
  </si>
  <si>
    <t>17955-15628</t>
  </si>
  <si>
    <t>Otto</t>
  </si>
  <si>
    <t>Porter</t>
  </si>
  <si>
    <t>17955-9636</t>
  </si>
  <si>
    <t>17955-14496</t>
  </si>
  <si>
    <t>17955-40201</t>
  </si>
  <si>
    <t>17955-12443</t>
  </si>
  <si>
    <t>17955-58253</t>
  </si>
  <si>
    <t>17955-9579</t>
  </si>
  <si>
    <t>17955-9475</t>
  </si>
  <si>
    <t>17955-9570</t>
  </si>
  <si>
    <t>17955-9662</t>
  </si>
  <si>
    <t>17955-14521</t>
  </si>
  <si>
    <t>17955-9966</t>
  </si>
  <si>
    <t>17955-40783</t>
  </si>
  <si>
    <t>LaVine</t>
  </si>
  <si>
    <t>17955-63127</t>
  </si>
  <si>
    <t>17955-58312</t>
  </si>
  <si>
    <t>17955-12337</t>
  </si>
  <si>
    <t>17955-14512</t>
  </si>
  <si>
    <t>17955-17333</t>
  </si>
  <si>
    <t>17955-42669</t>
  </si>
  <si>
    <t>17955-14523</t>
  </si>
  <si>
    <t>17955-9666</t>
  </si>
  <si>
    <t>17955-18600</t>
  </si>
  <si>
    <t>17955-15846</t>
  </si>
  <si>
    <t>17955-14518</t>
  </si>
  <si>
    <t>17955-9473</t>
  </si>
  <si>
    <t>17955-15757</t>
  </si>
  <si>
    <t>17955-15771</t>
  </si>
  <si>
    <t>17955-12350</t>
  </si>
  <si>
    <t>17955-16233</t>
  </si>
  <si>
    <t>17955-15636</t>
  </si>
  <si>
    <t>17955-9593</t>
  </si>
  <si>
    <t>17955-9624</t>
  </si>
  <si>
    <t>17955-9638</t>
  </si>
  <si>
    <t>17955-9657</t>
  </si>
  <si>
    <t>17955-24544</t>
  </si>
  <si>
    <t>17955-16359</t>
  </si>
  <si>
    <t>17955-9873</t>
  </si>
  <si>
    <t>Robin</t>
  </si>
  <si>
    <t>17955-9455</t>
  </si>
  <si>
    <t>Rajon</t>
  </si>
  <si>
    <t>Rondo</t>
  </si>
  <si>
    <t>17955-9481</t>
  </si>
  <si>
    <t>Taj</t>
  </si>
  <si>
    <t>17955-63124</t>
  </si>
  <si>
    <t>17955-14539</t>
  </si>
  <si>
    <t>17955-19781</t>
  </si>
  <si>
    <t>17955-16201</t>
  </si>
  <si>
    <t>Carter-Williams</t>
  </si>
  <si>
    <t>17955-23407</t>
  </si>
  <si>
    <t>17955-9700</t>
  </si>
  <si>
    <t>17955-15405</t>
  </si>
  <si>
    <t>17955-20640</t>
  </si>
  <si>
    <t>17955-14530</t>
  </si>
  <si>
    <t>17955-9964</t>
  </si>
  <si>
    <t>17955-23120</t>
  </si>
  <si>
    <t>17955-42148</t>
  </si>
  <si>
    <t>17955-9458</t>
  </si>
  <si>
    <t>17955-9692</t>
  </si>
  <si>
    <t>17955-9702</t>
  </si>
  <si>
    <t>17955-9454</t>
  </si>
  <si>
    <t>17955-23798</t>
  </si>
  <si>
    <t>17955-9587</t>
  </si>
  <si>
    <t>17955-16261</t>
  </si>
  <si>
    <t>17955-9615</t>
  </si>
  <si>
    <t>17955-9652</t>
  </si>
  <si>
    <t>17955-9737</t>
  </si>
  <si>
    <t>17955-9580</t>
  </si>
  <si>
    <t>17955-20992</t>
  </si>
  <si>
    <t>17955-20064</t>
  </si>
  <si>
    <t>17955-23717</t>
  </si>
  <si>
    <t>17955-9643</t>
  </si>
  <si>
    <t>17955-17332</t>
  </si>
  <si>
    <t>17955-9664</t>
  </si>
  <si>
    <t>17955-17384</t>
  </si>
  <si>
    <t>17955-9725</t>
  </si>
  <si>
    <t>17955-66048</t>
  </si>
  <si>
    <t>17955-15417</t>
  </si>
  <si>
    <t>17955-23178</t>
  </si>
  <si>
    <t>17955-12511</t>
  </si>
  <si>
    <t>17955-58081</t>
  </si>
  <si>
    <t>17955-11074</t>
  </si>
  <si>
    <t>17955-66108</t>
  </si>
  <si>
    <t>17955-17517</t>
  </si>
  <si>
    <t>17955-16301</t>
  </si>
  <si>
    <t>17955-9758</t>
  </si>
  <si>
    <t>17955-15952</t>
  </si>
  <si>
    <t>17955-12369</t>
  </si>
  <si>
    <t>17955-67707</t>
  </si>
  <si>
    <t>17955-9751</t>
  </si>
  <si>
    <t>17955-17491</t>
  </si>
  <si>
    <t>17955-15520</t>
  </si>
  <si>
    <t>17955-70827</t>
  </si>
  <si>
    <t>17955-14549</t>
  </si>
  <si>
    <t>17955-14554</t>
  </si>
  <si>
    <t>17955-9953</t>
  </si>
  <si>
    <t>Mahinmi</t>
  </si>
  <si>
    <t>17955-23802</t>
  </si>
  <si>
    <t>17955-9479</t>
  </si>
  <si>
    <t>17955-9483</t>
  </si>
  <si>
    <t>17955-23823</t>
  </si>
  <si>
    <t>17955-15744</t>
  </si>
  <si>
    <t>17955-9654</t>
  </si>
  <si>
    <t>17955-15996</t>
  </si>
  <si>
    <t>Jerian</t>
  </si>
  <si>
    <t>17955-14506</t>
  </si>
  <si>
    <t>17955-14522</t>
  </si>
  <si>
    <t>Mirotic</t>
  </si>
  <si>
    <t>17955-9920</t>
  </si>
  <si>
    <t>17955-9956</t>
  </si>
  <si>
    <t>17955-55057</t>
  </si>
  <si>
    <t>17955-58661</t>
  </si>
  <si>
    <t>17955-9565</t>
  </si>
  <si>
    <t>17955-9669</t>
  </si>
  <si>
    <t>17955-9723</t>
  </si>
  <si>
    <t>17955-9731</t>
  </si>
  <si>
    <t>17955-9739</t>
  </si>
  <si>
    <t>Lower body</t>
  </si>
  <si>
    <t>17955-66091</t>
  </si>
  <si>
    <t>17955-37931</t>
  </si>
  <si>
    <t>17955-49336</t>
  </si>
  <si>
    <t>17955-16071</t>
  </si>
  <si>
    <t>17955-14537</t>
  </si>
  <si>
    <t>Rest</t>
  </si>
  <si>
    <t>17955-16604</t>
  </si>
  <si>
    <t>17955-9960</t>
  </si>
  <si>
    <t>17955-9526</t>
  </si>
  <si>
    <t>17955-9549</t>
  </si>
  <si>
    <t>17955-15727</t>
  </si>
  <si>
    <t>17955-9609</t>
  </si>
  <si>
    <t>17955-15788</t>
  </si>
  <si>
    <t>17955-9647</t>
  </si>
  <si>
    <t>17955-15814</t>
  </si>
  <si>
    <t>17955-9677</t>
  </si>
  <si>
    <t>17955-19456</t>
  </si>
  <si>
    <t>Canaan</t>
  </si>
  <si>
    <t>Toe</t>
  </si>
  <si>
    <t>17955-9733</t>
  </si>
  <si>
    <t>17955-9734</t>
  </si>
  <si>
    <t>17955-66064</t>
  </si>
  <si>
    <t>17955-23572</t>
  </si>
  <si>
    <t>17955-9752</t>
  </si>
  <si>
    <t>17955-12335</t>
  </si>
  <si>
    <t>17955-9783</t>
  </si>
  <si>
    <t>17955-12344</t>
  </si>
  <si>
    <t>17955-23097</t>
  </si>
  <si>
    <t>Tomas</t>
  </si>
  <si>
    <t>Satoransky</t>
  </si>
  <si>
    <t>17955-66109</t>
  </si>
  <si>
    <t>17955-12349</t>
  </si>
  <si>
    <t>17955-12354</t>
  </si>
  <si>
    <t>17955-15947</t>
  </si>
  <si>
    <t>17955-9804</t>
  </si>
  <si>
    <t>17955-12368</t>
  </si>
  <si>
    <t>17955-66129</t>
  </si>
  <si>
    <t>17955-15955</t>
  </si>
  <si>
    <t>17955-59483</t>
  </si>
  <si>
    <t>17955-58463</t>
  </si>
  <si>
    <t>17955-15469</t>
  </si>
  <si>
    <t>17955-23665</t>
  </si>
  <si>
    <t>17955-23156</t>
  </si>
  <si>
    <t>17955-41082</t>
  </si>
  <si>
    <t>17955-58490</t>
  </si>
  <si>
    <t>17955-67708</t>
  </si>
  <si>
    <t>17955-12421</t>
  </si>
  <si>
    <t>17955-17542</t>
  </si>
  <si>
    <t>17955-12423</t>
  </si>
  <si>
    <t>17955-12424</t>
  </si>
  <si>
    <t>17955-66203</t>
  </si>
  <si>
    <t>17955-48799</t>
  </si>
  <si>
    <t>17955-70819</t>
  </si>
  <si>
    <t>17955-23716</t>
  </si>
  <si>
    <t>17955-70821</t>
  </si>
  <si>
    <t>17955-70820</t>
  </si>
  <si>
    <t>17955-42662</t>
  </si>
  <si>
    <t>17955-9895</t>
  </si>
  <si>
    <t>17955-70822</t>
  </si>
  <si>
    <t>17955-42665</t>
  </si>
  <si>
    <t>17955-42156</t>
  </si>
  <si>
    <t>Portis</t>
  </si>
  <si>
    <t>17955-71345</t>
  </si>
  <si>
    <t>17955-70832</t>
  </si>
  <si>
    <t>Zipser</t>
  </si>
  <si>
    <t>17955-15542</t>
  </si>
  <si>
    <t>17955-14519</t>
  </si>
  <si>
    <t>17955-23743</t>
  </si>
  <si>
    <t>Daniel</t>
  </si>
  <si>
    <t>Ochefu</t>
  </si>
  <si>
    <t>17955-22727</t>
  </si>
  <si>
    <t>17955-9935</t>
  </si>
  <si>
    <t>17955-14543</t>
  </si>
  <si>
    <t>17955-23248</t>
  </si>
  <si>
    <t>R.J.</t>
  </si>
  <si>
    <t>Hunter</t>
  </si>
  <si>
    <t>17955-58576</t>
  </si>
  <si>
    <t>17955-9939</t>
  </si>
  <si>
    <t>17955-9940</t>
  </si>
  <si>
    <t>17955-16089</t>
  </si>
  <si>
    <t>17955-15585</t>
  </si>
  <si>
    <t>17955-9955</t>
  </si>
  <si>
    <t>Thornton</t>
  </si>
  <si>
    <t>17955-15587</t>
  </si>
  <si>
    <t>17955-15589</t>
  </si>
  <si>
    <t>17955-23788</t>
  </si>
  <si>
    <t>17955-23800</t>
  </si>
  <si>
    <t>17955-23294</t>
  </si>
  <si>
    <t>Danuel</t>
  </si>
  <si>
    <t>House</t>
  </si>
  <si>
    <t>17955-15620</t>
  </si>
  <si>
    <t>17955-23824</t>
  </si>
  <si>
    <t>17955-9490</t>
  </si>
  <si>
    <t>17955-55063</t>
  </si>
  <si>
    <t>17955-9496</t>
  </si>
  <si>
    <t>17955-9501</t>
  </si>
  <si>
    <t>17955-58658</t>
  </si>
  <si>
    <t>17955-9507</t>
  </si>
  <si>
    <t>17955-58153</t>
  </si>
  <si>
    <t>Oubre Jr.</t>
  </si>
  <si>
    <t>17955-9514</t>
  </si>
  <si>
    <t>17955-71467</t>
  </si>
  <si>
    <t>17955-34615</t>
  </si>
  <si>
    <t>17955-9534</t>
  </si>
  <si>
    <t>17955-17218</t>
  </si>
  <si>
    <t>Nicholson</t>
  </si>
  <si>
    <t>17955-20805</t>
  </si>
  <si>
    <t>17955-9542</t>
  </si>
  <si>
    <t>17955-16202</t>
  </si>
  <si>
    <t>17955-9547</t>
  </si>
  <si>
    <t>17955-17230</t>
  </si>
  <si>
    <t>17955-18256</t>
  </si>
  <si>
    <t>Doug</t>
  </si>
  <si>
    <t>McDermott</t>
  </si>
  <si>
    <t>17955-9553</t>
  </si>
  <si>
    <t>17955-63826</t>
  </si>
  <si>
    <t>17955-17747</t>
  </si>
  <si>
    <t>17955-9567</t>
  </si>
  <si>
    <t>17955-9568</t>
  </si>
  <si>
    <t>17955-15730</t>
  </si>
  <si>
    <t>17955-40819</t>
  </si>
  <si>
    <t>17955-9589</t>
  </si>
  <si>
    <t>17955-16246</t>
  </si>
  <si>
    <t>Sheldon</t>
  </si>
  <si>
    <t>McClellan</t>
  </si>
  <si>
    <t>17955-18821</t>
  </si>
  <si>
    <t>17955-58247</t>
  </si>
  <si>
    <t>17955-18828</t>
  </si>
  <si>
    <t>17955-66455</t>
  </si>
  <si>
    <t>17955-66968</t>
  </si>
  <si>
    <t>17955-9629</t>
  </si>
  <si>
    <t>17955-74164</t>
  </si>
  <si>
    <t>17955-9674</t>
  </si>
  <si>
    <t>17955-66521</t>
  </si>
  <si>
    <t>17955-16859</t>
  </si>
  <si>
    <t>Orbital</t>
  </si>
  <si>
    <t>17955-16348</t>
  </si>
  <si>
    <t>17955-9693</t>
  </si>
  <si>
    <t>17955-24546</t>
  </si>
  <si>
    <t>Denzel</t>
  </si>
  <si>
    <t>Valentine</t>
  </si>
  <si>
    <t>17955-15843</t>
  </si>
  <si>
    <t>Burke</t>
  </si>
  <si>
    <t>17955-17894</t>
  </si>
  <si>
    <t>17955-9704</t>
  </si>
  <si>
    <t>17955-16363</t>
  </si>
  <si>
    <t>17955-58350</t>
  </si>
  <si>
    <t>17955-9712</t>
  </si>
  <si>
    <t>17955-16368</t>
  </si>
  <si>
    <t>17955-63478</t>
  </si>
  <si>
    <t>Cristiano</t>
  </si>
  <si>
    <t>Felicio</t>
  </si>
  <si>
    <t>17955-15864</t>
  </si>
  <si>
    <t>Fix C AND 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</si>
</sst>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24"/>
      <color rgb="FF000000"/>
      <name val="Calibri"/>
      <family val="2"/>
    </font>
    <font>
      <b/>
      <sz val="11"/>
      <color rgb="FF7030A0"/>
      <name val="Arial"/>
      <family val="2"/>
    </font>
    <font>
      <b/>
      <sz val="1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0" fillId="0" borderId="0" xfId="0"/>
    <xf numFmtId="0" fontId="33" fillId="34" borderId="0" xfId="42" applyFont="1" applyFill="1"/>
    <xf numFmtId="0" fontId="34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190500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zoomScale="106" zoomScaleNormal="106" workbookViewId="0">
      <selection activeCell="P26" sqref="P26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12</v>
      </c>
      <c r="C1" t="s">
        <v>13</v>
      </c>
      <c r="D1" t="s">
        <v>8</v>
      </c>
      <c r="E1" t="s">
        <v>9</v>
      </c>
      <c r="F1" t="s">
        <v>10</v>
      </c>
      <c r="G1" t="s">
        <v>11</v>
      </c>
      <c r="H1" t="s">
        <v>3</v>
      </c>
      <c r="I1" t="s">
        <v>7</v>
      </c>
      <c r="J1" t="s">
        <v>5</v>
      </c>
      <c r="K1" t="s">
        <v>4</v>
      </c>
      <c r="L1" t="s">
        <v>6</v>
      </c>
      <c r="M1" t="s">
        <v>84</v>
      </c>
      <c r="N1" t="s">
        <v>0</v>
      </c>
      <c r="O1" t="s">
        <v>14</v>
      </c>
      <c r="P1" t="s">
        <v>15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OrganizedData!A1</f>
        <v>C</v>
      </c>
      <c r="E2" t="str">
        <f>OrganizedData!B1</f>
        <v>DeMarcus Cousins</v>
      </c>
      <c r="F2">
        <f>(OrganizedData!C1)*M2</f>
        <v>66.400000000000006</v>
      </c>
      <c r="G2" s="35">
        <f>OrganizedData!D1</f>
        <v>11200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IF(OrganizedData!F1=0,1,0)</f>
        <v>1</v>
      </c>
      <c r="N2" t="s">
        <v>3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0" t="str">
        <f>OrganizedData!A2</f>
        <v>SG</v>
      </c>
      <c r="E3" s="40" t="str">
        <f>OrganizedData!B2</f>
        <v>Giannis Antetokounmpo</v>
      </c>
      <c r="F3" s="40">
        <f>(OrganizedData!C2)*M3</f>
        <v>64.599999999999994</v>
      </c>
      <c r="G3" s="35">
        <f>OrganizedData!D2</f>
        <v>11200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40">
        <f>IF(OrganizedData!F2=0,1,0)</f>
        <v>1</v>
      </c>
      <c r="N3" t="s">
        <v>7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0" t="str">
        <f>OrganizedData!A3</f>
        <v>PF</v>
      </c>
      <c r="E4" s="40" t="str">
        <f>OrganizedData!B3</f>
        <v>Anthony Davis</v>
      </c>
      <c r="F4" s="40">
        <f>(OrganizedData!C3)*M4</f>
        <v>62.6</v>
      </c>
      <c r="G4" s="35">
        <f>OrganizedData!D3</f>
        <v>10900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40">
        <f>IF(OrganizedData!F3=0,1,0)</f>
        <v>1</v>
      </c>
      <c r="N4" t="s">
        <v>5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0" t="str">
        <f>OrganizedData!A4</f>
        <v>C</v>
      </c>
      <c r="E5" s="40" t="str">
        <f>OrganizedData!B4</f>
        <v>Karl-Anthony Towns</v>
      </c>
      <c r="F5" s="40">
        <f>(OrganizedData!C4)*M5</f>
        <v>52.3</v>
      </c>
      <c r="G5" s="35">
        <f>OrganizedData!D4</f>
        <v>10700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40">
        <f>IF(OrganizedData!F4=0,1,0)</f>
        <v>1</v>
      </c>
      <c r="N5" t="s">
        <v>4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0" t="str">
        <f>OrganizedData!A5</f>
        <v>PF</v>
      </c>
      <c r="E6" s="40" t="str">
        <f>OrganizedData!B5</f>
        <v>Nikola Jokic</v>
      </c>
      <c r="F6" s="40">
        <f>(OrganizedData!C5)*M6</f>
        <v>60.3</v>
      </c>
      <c r="G6" s="35">
        <f>OrganizedData!D5</f>
        <v>9900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40">
        <f>IF(OrganizedData!F5=0,1,0)</f>
        <v>1</v>
      </c>
      <c r="N6" t="s">
        <v>6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0" t="str">
        <f>OrganizedData!A6</f>
        <v>SF</v>
      </c>
      <c r="E7" s="40" t="str">
        <f>OrganizedData!B6</f>
        <v>Kevin Durant</v>
      </c>
      <c r="F7" s="40">
        <f>(OrganizedData!C6)*M7</f>
        <v>52.6</v>
      </c>
      <c r="G7" s="35">
        <f>OrganizedData!D6</f>
        <v>10300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40">
        <f>IF(OrganizedData!F6=0,1,0)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0" t="str">
        <f>OrganizedData!A7</f>
        <v>C</v>
      </c>
      <c r="E8" s="40" t="str">
        <f>OrganizedData!B7</f>
        <v>Andre Drummond</v>
      </c>
      <c r="F8" s="40">
        <f>(OrganizedData!C7)*M8</f>
        <v>55.4</v>
      </c>
      <c r="G8" s="35">
        <f>OrganizedData!D7</f>
        <v>8700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40">
        <f>IF(OrganizedData!F7=0,1,0)</f>
        <v>1</v>
      </c>
      <c r="N8" t="s">
        <v>16</v>
      </c>
      <c r="O8">
        <f>SUMPRODUCT(C2:C239,G2:G239)</f>
        <v>60000</v>
      </c>
    </row>
    <row r="9" spans="1:20" x14ac:dyDescent="0.25">
      <c r="A9" t="str">
        <f t="shared" si="1"/>
        <v>C</v>
      </c>
      <c r="B9" t="str">
        <f>IF(C9=0,0,A9&amp;" "&amp;COUNTIF($A$1:$A9,A9))</f>
        <v>C 1</v>
      </c>
      <c r="C9" s="1">
        <v>1</v>
      </c>
      <c r="D9" s="40" t="str">
        <f>OrganizedData!A8</f>
        <v>C</v>
      </c>
      <c r="E9" s="40" t="str">
        <f>OrganizedData!B8</f>
        <v>Brook Lopez</v>
      </c>
      <c r="F9" s="40">
        <f>(OrganizedData!C8)*M9</f>
        <v>60.3</v>
      </c>
      <c r="G9" s="35">
        <f>OrganizedData!D8</f>
        <v>7200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1</v>
      </c>
      <c r="M9" s="40">
        <f>IF(OrganizedData!F8=0,1,0)</f>
        <v>1</v>
      </c>
      <c r="N9" t="s">
        <v>17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0" t="str">
        <f>OrganizedData!A9</f>
        <v>PG</v>
      </c>
      <c r="E10" s="40" t="str">
        <f>OrganizedData!B9</f>
        <v>John Wall</v>
      </c>
      <c r="F10" s="40">
        <f>(OrganizedData!C9)*M10</f>
        <v>58.1</v>
      </c>
      <c r="G10" s="35">
        <f>OrganizedData!D9</f>
        <v>10500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40">
        <f>IF(OrganizedData!F9=0,1,0)</f>
        <v>1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0" t="str">
        <f>OrganizedData!A10</f>
        <v>PG</v>
      </c>
      <c r="E11" s="40" t="str">
        <f>OrganizedData!B10</f>
        <v>Derrick Rose</v>
      </c>
      <c r="F11" s="40">
        <f>(OrganizedData!C10)*M11</f>
        <v>41.3</v>
      </c>
      <c r="G11" s="35">
        <f>OrganizedData!D10</f>
        <v>6200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40">
        <f>IF(OrganizedData!F10=0,1,0)</f>
        <v>1</v>
      </c>
      <c r="N11" t="s">
        <v>18</v>
      </c>
      <c r="O11">
        <f>SUMPRODUCT(C2:C339,F2:F339)</f>
        <v>461.90000000000003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0" t="str">
        <f>OrganizedData!A11</f>
        <v>C</v>
      </c>
      <c r="E12" s="40" t="str">
        <f>OrganizedData!B11</f>
        <v>Hassan Whiteside</v>
      </c>
      <c r="F12" s="40">
        <f>(OrganizedData!C11)*M12</f>
        <v>57</v>
      </c>
      <c r="G12" s="35">
        <f>OrganizedData!D11</f>
        <v>9100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40">
        <f>IF(OrganizedData!F11=0,1,0)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0" t="str">
        <f>OrganizedData!A12</f>
        <v>C</v>
      </c>
      <c r="E13" s="40" t="str">
        <f>OrganizedData!B12</f>
        <v>Marc Gasol</v>
      </c>
      <c r="F13" s="40">
        <f>(OrganizedData!C12)*M13</f>
        <v>52.8</v>
      </c>
      <c r="G13" s="35">
        <f>OrganizedData!D12</f>
        <v>8400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40">
        <f>IF(OrganizedData!F12=0,1,0)</f>
        <v>1</v>
      </c>
      <c r="N13" t="s">
        <v>19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0" t="str">
        <f>OrganizedData!A13</f>
        <v>PG</v>
      </c>
      <c r="E14" s="40" t="str">
        <f>OrganizedData!B13</f>
        <v>Jeremy Lin</v>
      </c>
      <c r="F14" s="40">
        <f>(OrganizedData!C13)*M14</f>
        <v>0</v>
      </c>
      <c r="G14" s="35">
        <f>OrganizedData!D13</f>
        <v>6400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40">
        <f>IF(OrganizedData!F13=0,1,0)</f>
        <v>0</v>
      </c>
      <c r="N14" t="s">
        <v>20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0" t="str">
        <f>OrganizedData!A14</f>
        <v>PG</v>
      </c>
      <c r="E15" s="40" t="str">
        <f>OrganizedData!B14</f>
        <v>Eric Bledsoe</v>
      </c>
      <c r="F15" s="40">
        <f>(OrganizedData!C14)*M15</f>
        <v>57.5</v>
      </c>
      <c r="G15" s="35">
        <f>OrganizedData!D14</f>
        <v>8300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40">
        <f>IF(OrganizedData!F14=0,1,0)</f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0" t="str">
        <f>OrganizedData!A15</f>
        <v>PG</v>
      </c>
      <c r="E16" s="40" t="str">
        <f>OrganizedData!B15</f>
        <v>Stephen Curry</v>
      </c>
      <c r="F16" s="40">
        <f>(OrganizedData!C15)*M16</f>
        <v>62</v>
      </c>
      <c r="G16" s="35">
        <f>OrganizedData!D15</f>
        <v>9500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40">
        <f>IF(OrganizedData!F15=0,1,0)</f>
        <v>1</v>
      </c>
      <c r="N16" t="s">
        <v>22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0" t="str">
        <f>OrganizedData!A16</f>
        <v>SF</v>
      </c>
      <c r="E17" s="40" t="str">
        <f>OrganizedData!B16</f>
        <v>Paul George</v>
      </c>
      <c r="F17" s="40">
        <f>(OrganizedData!C16)*M17</f>
        <v>48.7</v>
      </c>
      <c r="G17" s="35">
        <f>OrganizedData!D16</f>
        <v>8700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40">
        <f>IF(OrganizedData!F16=0,1,0)</f>
        <v>1</v>
      </c>
      <c r="N17" t="s">
        <v>24</v>
      </c>
      <c r="O17" t="str">
        <f>VLOOKUP(N17,B2:F101,4,FALSE)</f>
        <v>Brandon Jennings</v>
      </c>
      <c r="P17">
        <v>29.9</v>
      </c>
    </row>
    <row r="18" spans="1:16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0" t="str">
        <f>OrganizedData!A17</f>
        <v>SG</v>
      </c>
      <c r="E18" s="40" t="str">
        <f>OrganizedData!B17</f>
        <v>Dwyane Wade</v>
      </c>
      <c r="F18" s="40">
        <f>(OrganizedData!C17)*M18</f>
        <v>0</v>
      </c>
      <c r="G18" s="35">
        <f>OrganizedData!D17</f>
        <v>8000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40">
        <f>IF(OrganizedData!F17=0,1,0)</f>
        <v>0</v>
      </c>
      <c r="N18" t="s">
        <v>25</v>
      </c>
      <c r="O18" s="2" t="str">
        <f>VLOOKUP(N18,B2:F102,4,FALSE)</f>
        <v>Jameer Nelson</v>
      </c>
      <c r="P18">
        <v>36.799999999999997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0" t="str">
        <f>OrganizedData!A18</f>
        <v>PG</v>
      </c>
      <c r="E19" s="40" t="str">
        <f>OrganizedData!B18</f>
        <v>Mike Conley</v>
      </c>
      <c r="F19" s="40">
        <f>(OrganizedData!C18)*M19</f>
        <v>43.5</v>
      </c>
      <c r="G19" s="35">
        <f>OrganizedData!D18</f>
        <v>7400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40">
        <f>IF(OrganizedData!F18=0,1,0)</f>
        <v>1</v>
      </c>
      <c r="N19" t="s">
        <v>26</v>
      </c>
      <c r="O19" s="2" t="str">
        <f>VLOOKUP(N19,B2:F103,4,FALSE)</f>
        <v>Klay Thompson</v>
      </c>
      <c r="P19">
        <v>40.700000000000003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0" t="str">
        <f>OrganizedData!A19</f>
        <v>PG</v>
      </c>
      <c r="E20" s="40" t="str">
        <f>OrganizedData!B19</f>
        <v>Jeff Teague</v>
      </c>
      <c r="F20" s="40">
        <f>(OrganizedData!C19)*M20</f>
        <v>49</v>
      </c>
      <c r="G20" s="35">
        <f>OrganizedData!D19</f>
        <v>7700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40">
        <f>IF(OrganizedData!F19=0,1,0)</f>
        <v>1</v>
      </c>
      <c r="N20" t="s">
        <v>27</v>
      </c>
      <c r="O20" s="2" t="str">
        <f>VLOOKUP(N20,B2:F104,4,FALSE)</f>
        <v>Bradley Beal</v>
      </c>
      <c r="P20">
        <v>29.6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0" t="str">
        <f>OrganizedData!A20</f>
        <v>SF</v>
      </c>
      <c r="E21" s="40" t="str">
        <f>OrganizedData!B20</f>
        <v>Jimmy Butler</v>
      </c>
      <c r="F21" s="40">
        <f>(OrganizedData!C20)*M21</f>
        <v>0</v>
      </c>
      <c r="G21" s="35">
        <f>OrganizedData!D20</f>
        <v>9500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40">
        <f>IF(OrganizedData!F20=0,1,0)</f>
        <v>0</v>
      </c>
      <c r="N21" t="s">
        <v>28</v>
      </c>
      <c r="O21" s="2" t="str">
        <f>VLOOKUP(N21,B2:F105,4,FALSE)</f>
        <v>Kawhi Leonard</v>
      </c>
      <c r="P21">
        <v>45.7</v>
      </c>
    </row>
    <row r="22" spans="1:16" x14ac:dyDescent="0.25">
      <c r="A22" t="str">
        <f t="shared" si="1"/>
        <v>SF</v>
      </c>
      <c r="B22" t="str">
        <f>IF(C22=0,0,A22&amp;" "&amp;COUNTIF($A$1:$A22,A22))</f>
        <v>SF 1</v>
      </c>
      <c r="C22" s="1">
        <v>1</v>
      </c>
      <c r="D22" s="40" t="str">
        <f>OrganizedData!A21</f>
        <v>SF</v>
      </c>
      <c r="E22" s="40" t="str">
        <f>OrganizedData!B21</f>
        <v>Kawhi Leonard</v>
      </c>
      <c r="F22" s="40">
        <f>(OrganizedData!C21)*M22</f>
        <v>57.8</v>
      </c>
      <c r="G22" s="35">
        <f>OrganizedData!D21</f>
        <v>9600</v>
      </c>
      <c r="H22">
        <f t="shared" si="2"/>
        <v>0</v>
      </c>
      <c r="I22">
        <f t="shared" si="2"/>
        <v>0</v>
      </c>
      <c r="J22">
        <f t="shared" si="2"/>
        <v>1</v>
      </c>
      <c r="K22">
        <f t="shared" si="2"/>
        <v>0</v>
      </c>
      <c r="L22">
        <f t="shared" si="2"/>
        <v>0</v>
      </c>
      <c r="M22" s="40">
        <f>IF(OrganizedData!F21=0,1,0)</f>
        <v>1</v>
      </c>
      <c r="N22" t="s">
        <v>29</v>
      </c>
      <c r="O22" s="2" t="str">
        <f>VLOOKUP(N22,B2:F106,4,FALSE)</f>
        <v>Wilson Chandler</v>
      </c>
      <c r="P22">
        <v>34.299999999999997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0" t="str">
        <f>OrganizedData!A22</f>
        <v>SG</v>
      </c>
      <c r="E23" s="40" t="str">
        <f>OrganizedData!B22</f>
        <v>Lou Williams</v>
      </c>
      <c r="F23" s="40">
        <f>(OrganizedData!C22)*M23</f>
        <v>42.7</v>
      </c>
      <c r="G23" s="35">
        <f>OrganizedData!D22</f>
        <v>6200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40">
        <f>IF(OrganizedData!F22=0,1,0)</f>
        <v>1</v>
      </c>
      <c r="N23" t="s">
        <v>30</v>
      </c>
      <c r="O23" s="2" t="str">
        <f>VLOOKUP(N23,B2:F107,4,FALSE)</f>
        <v>JaMychal Green</v>
      </c>
      <c r="P23">
        <v>9.4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0" t="str">
        <f>OrganizedData!A23</f>
        <v>SF</v>
      </c>
      <c r="E24" s="40" t="str">
        <f>OrganizedData!B23</f>
        <v>Danilo Gallinari</v>
      </c>
      <c r="F24" s="40">
        <f>(OrganizedData!C23)*M24</f>
        <v>0</v>
      </c>
      <c r="G24" s="35">
        <f>OrganizedData!D23</f>
        <v>6900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40">
        <f>IF(OrganizedData!F23=0,1,0)</f>
        <v>0</v>
      </c>
      <c r="N24" t="s">
        <v>31</v>
      </c>
      <c r="O24" s="2" t="str">
        <f>VLOOKUP(N24,B2:F108,4,FALSE)</f>
        <v>Draymond Green</v>
      </c>
      <c r="P24">
        <v>61.4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0" t="str">
        <f>OrganizedData!A24</f>
        <v>SG</v>
      </c>
      <c r="E25" s="40" t="str">
        <f>OrganizedData!B24</f>
        <v>Dion Waiters</v>
      </c>
      <c r="F25" s="40">
        <f>(OrganizedData!C24)*M25</f>
        <v>0</v>
      </c>
      <c r="G25" s="35">
        <f>OrganizedData!D24</f>
        <v>7100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40">
        <f>IF(OrganizedData!F24=0,1,0)</f>
        <v>0</v>
      </c>
      <c r="N25" t="s">
        <v>85</v>
      </c>
      <c r="O25" s="2" t="str">
        <f>VLOOKUP(N25,B3:F109,4,FALSE)</f>
        <v>Brook Lopez</v>
      </c>
      <c r="P25">
        <v>42.1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0" t="str">
        <f>OrganizedData!A25</f>
        <v>C</v>
      </c>
      <c r="E26" s="40" t="str">
        <f>OrganizedData!B25</f>
        <v>Ivica Zubac</v>
      </c>
      <c r="F26" s="40">
        <f>(OrganizedData!C25)*M26</f>
        <v>28.4</v>
      </c>
      <c r="G26" s="35">
        <f>OrganizedData!D25</f>
        <v>3800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40">
        <f>IF(OrganizedData!F25=0,1,0)</f>
        <v>1</v>
      </c>
      <c r="P26">
        <f>SUM(P17:P25)</f>
        <v>329.90000000000003</v>
      </c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0" t="str">
        <f>OrganizedData!A26</f>
        <v>PG</v>
      </c>
      <c r="E27" s="40" t="str">
        <f>OrganizedData!B26</f>
        <v>Dennis Schroder</v>
      </c>
      <c r="F27" s="40">
        <f>(OrganizedData!C26)*M27</f>
        <v>48</v>
      </c>
      <c r="G27" s="35">
        <f>OrganizedData!D26</f>
        <v>6500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40">
        <f>IF(OrganizedData!F26=0,1,0)</f>
        <v>1</v>
      </c>
    </row>
    <row r="28" spans="1:16" x14ac:dyDescent="0.25">
      <c r="A28" t="str">
        <f t="shared" si="1"/>
        <v>SG</v>
      </c>
      <c r="B28" t="str">
        <f>IF(C28=0,0,A28&amp;" "&amp;COUNTIF($A$1:$A28,A28))</f>
        <v>SG 1</v>
      </c>
      <c r="C28" s="1">
        <v>1</v>
      </c>
      <c r="D28" s="40" t="str">
        <f>OrganizedData!A27</f>
        <v>SG</v>
      </c>
      <c r="E28" s="40" t="str">
        <f>OrganizedData!B27</f>
        <v>Klay Thompson</v>
      </c>
      <c r="F28" s="40">
        <f>(OrganizedData!C27)*M28</f>
        <v>51</v>
      </c>
      <c r="G28" s="35">
        <f>OrganizedData!D27</f>
        <v>6800</v>
      </c>
      <c r="H28">
        <f t="shared" si="2"/>
        <v>0</v>
      </c>
      <c r="I28">
        <f t="shared" si="2"/>
        <v>1</v>
      </c>
      <c r="J28">
        <f t="shared" si="2"/>
        <v>0</v>
      </c>
      <c r="K28">
        <f t="shared" si="2"/>
        <v>0</v>
      </c>
      <c r="L28">
        <f t="shared" si="2"/>
        <v>0</v>
      </c>
      <c r="M28" s="40">
        <f>IF(OrganizedData!F27=0,1,0)</f>
        <v>1</v>
      </c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0" t="str">
        <f>OrganizedData!A28</f>
        <v>PF</v>
      </c>
      <c r="E29" s="40" t="str">
        <f>OrganizedData!B28</f>
        <v>Zach Randolph</v>
      </c>
      <c r="F29" s="40">
        <f>(OrganizedData!C28)*M29</f>
        <v>0</v>
      </c>
      <c r="G29" s="35">
        <f>OrganizedData!D28</f>
        <v>6300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40">
        <f>IF(OrganizedData!F28=0,1,0)</f>
        <v>0</v>
      </c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0" t="str">
        <f>OrganizedData!A29</f>
        <v>PG</v>
      </c>
      <c r="E30" s="40" t="str">
        <f>OrganizedData!B29</f>
        <v>Jrue Holiday</v>
      </c>
      <c r="F30" s="40">
        <f>(OrganizedData!C29)*M30</f>
        <v>55.3</v>
      </c>
      <c r="G30" s="35">
        <f>OrganizedData!D29</f>
        <v>7900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40">
        <f>IF(OrganizedData!F29=0,1,0)</f>
        <v>1</v>
      </c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0" t="str">
        <f>OrganizedData!A30</f>
        <v>SG</v>
      </c>
      <c r="E31" s="40" t="str">
        <f>OrganizedData!B30</f>
        <v>Will Barton</v>
      </c>
      <c r="F31" s="40">
        <f>(OrganizedData!C30)*M31</f>
        <v>45.5</v>
      </c>
      <c r="G31" s="35">
        <f>OrganizedData!D30</f>
        <v>5800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40">
        <f>IF(OrganizedData!F30=0,1,0)</f>
        <v>1</v>
      </c>
    </row>
    <row r="32" spans="1:16" x14ac:dyDescent="0.25">
      <c r="A32" t="str">
        <f t="shared" si="1"/>
        <v>SG</v>
      </c>
      <c r="B32" t="str">
        <f>IF(C32=0,0,A32&amp;" "&amp;COUNTIF($A$1:$A32,A32))</f>
        <v>SG 2</v>
      </c>
      <c r="C32" s="1">
        <v>1</v>
      </c>
      <c r="D32" s="40" t="str">
        <f>OrganizedData!A31</f>
        <v>SG</v>
      </c>
      <c r="E32" s="40" t="str">
        <f>OrganizedData!B31</f>
        <v>Bradley Beal</v>
      </c>
      <c r="F32" s="40">
        <f>(OrganizedData!C31)*M32</f>
        <v>59</v>
      </c>
      <c r="G32" s="35">
        <f>OrganizedData!D31</f>
        <v>7500</v>
      </c>
      <c r="H32">
        <f t="shared" si="2"/>
        <v>0</v>
      </c>
      <c r="I32">
        <f t="shared" si="2"/>
        <v>1</v>
      </c>
      <c r="J32">
        <f t="shared" si="2"/>
        <v>0</v>
      </c>
      <c r="K32">
        <f t="shared" si="2"/>
        <v>0</v>
      </c>
      <c r="L32">
        <f t="shared" si="2"/>
        <v>0</v>
      </c>
      <c r="M32" s="40">
        <f>IF(OrganizedData!F31=0,1,0)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0" t="str">
        <f>OrganizedData!A32</f>
        <v>SG</v>
      </c>
      <c r="E33" s="40" t="str">
        <f>OrganizedData!B32</f>
        <v>Gary Harris</v>
      </c>
      <c r="F33" s="40">
        <f>(OrganizedData!C32)*M33</f>
        <v>31.8</v>
      </c>
      <c r="G33" s="35">
        <f>OrganizedData!D32</f>
        <v>5100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40">
        <f>IF(OrganizedData!F32=0,1,0)</f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0" t="str">
        <f>OrganizedData!A33</f>
        <v>PF</v>
      </c>
      <c r="E34" s="40" t="str">
        <f>OrganizedData!B33</f>
        <v>Julius Randle</v>
      </c>
      <c r="F34" s="40">
        <f>(OrganizedData!C33)*M34</f>
        <v>31.5</v>
      </c>
      <c r="G34" s="35">
        <f>OrganizedData!D33</f>
        <v>5700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40">
        <f>IF(OrganizedData!F33=0,1,0)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0" t="str">
        <f>OrganizedData!A34</f>
        <v>SG</v>
      </c>
      <c r="E35" s="40" t="str">
        <f>OrganizedData!B34</f>
        <v>Devin Booker</v>
      </c>
      <c r="F35" s="40">
        <f>(OrganizedData!C34)*M35</f>
        <v>43.4</v>
      </c>
      <c r="G35" s="35">
        <f>OrganizedData!D34</f>
        <v>6800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40">
        <f>IF(OrganizedData!F34=0,1,0)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0" t="str">
        <f>OrganizedData!A35</f>
        <v>PF</v>
      </c>
      <c r="E36" s="40" t="str">
        <f>OrganizedData!B35</f>
        <v>Kristaps Porzingis</v>
      </c>
      <c r="F36" s="40">
        <f>(OrganizedData!C35)*M36</f>
        <v>40.200000000000003</v>
      </c>
      <c r="G36" s="35">
        <f>OrganizedData!D35</f>
        <v>6800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40">
        <f>IF(OrganizedData!F35=0,1,0)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0" t="str">
        <f>OrganizedData!A36</f>
        <v>C</v>
      </c>
      <c r="E37" s="40" t="str">
        <f>OrganizedData!B36</f>
        <v>Greg Monroe</v>
      </c>
      <c r="F37" s="40">
        <f>(OrganizedData!C36)*M37</f>
        <v>48.6</v>
      </c>
      <c r="G37" s="35">
        <f>OrganizedData!D36</f>
        <v>5800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40">
        <f>IF(OrganizedData!F36=0,1,0)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0" t="str">
        <f>OrganizedData!A37</f>
        <v>PF</v>
      </c>
      <c r="E38" s="40" t="str">
        <f>OrganizedData!B37</f>
        <v>Marquese Chriss</v>
      </c>
      <c r="F38" s="40">
        <f>(OrganizedData!C37)*M38</f>
        <v>38.200000000000003</v>
      </c>
      <c r="G38" s="35">
        <f>OrganizedData!D37</f>
        <v>3900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40">
        <f>IF(OrganizedData!F37=0,1,0)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0" t="str">
        <f>OrganizedData!A38</f>
        <v>PF</v>
      </c>
      <c r="E39" s="40" t="str">
        <f>OrganizedData!B38</f>
        <v>LaMarcus Aldridge</v>
      </c>
      <c r="F39" s="40">
        <f>(OrganizedData!C38)*M39</f>
        <v>35.1</v>
      </c>
      <c r="G39" s="35">
        <f>OrganizedData!D38</f>
        <v>7500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40">
        <f>IF(OrganizedData!F38=0,1,0)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0" t="str">
        <f>OrganizedData!A39</f>
        <v>C</v>
      </c>
      <c r="E40" s="40" t="str">
        <f>OrganizedData!B39</f>
        <v>Marcin Gortat</v>
      </c>
      <c r="F40" s="40">
        <f>(OrganizedData!C39)*M40</f>
        <v>43.3</v>
      </c>
      <c r="G40" s="35">
        <f>OrganizedData!D39</f>
        <v>7000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40">
        <f>IF(OrganizedData!F39=0,1,0)</f>
        <v>1</v>
      </c>
    </row>
    <row r="41" spans="1:13" x14ac:dyDescent="0.25">
      <c r="A41" t="str">
        <f t="shared" si="1"/>
        <v>PF</v>
      </c>
      <c r="B41" t="str">
        <f>IF(C41=0,0,A41&amp;" "&amp;COUNTIF($A$1:$A41,A41))</f>
        <v>PF 1</v>
      </c>
      <c r="C41" s="1">
        <v>1</v>
      </c>
      <c r="D41" s="40" t="str">
        <f>OrganizedData!A40</f>
        <v>PF</v>
      </c>
      <c r="E41" s="40" t="str">
        <f>OrganizedData!B40</f>
        <v>JaMychal Green</v>
      </c>
      <c r="F41" s="40">
        <f>(OrganizedData!C40)*M41</f>
        <v>40.700000000000003</v>
      </c>
      <c r="G41" s="35">
        <f>OrganizedData!D40</f>
        <v>4600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1</v>
      </c>
      <c r="L41">
        <f t="shared" si="3"/>
        <v>0</v>
      </c>
      <c r="M41" s="40">
        <f>IF(OrganizedData!F40=0,1,0)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0" t="str">
        <f>OrganizedData!A41</f>
        <v>PG</v>
      </c>
      <c r="E42" s="40" t="str">
        <f>OrganizedData!B41</f>
        <v>Jordan Clarkson</v>
      </c>
      <c r="F42" s="40">
        <f>(OrganizedData!C41)*M42</f>
        <v>23.9</v>
      </c>
      <c r="G42" s="35">
        <f>OrganizedData!D41</f>
        <v>4600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40">
        <f>IF(OrganizedData!F41=0,1,0)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0" t="str">
        <f>OrganizedData!A42</f>
        <v>SG</v>
      </c>
      <c r="E43" s="40" t="str">
        <f>OrganizedData!B42</f>
        <v>Zach LaVine</v>
      </c>
      <c r="F43" s="40">
        <f>(OrganizedData!C42)*M43</f>
        <v>0</v>
      </c>
      <c r="G43" s="35">
        <f>OrganizedData!D42</f>
        <v>6000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40">
        <f>IF(OrganizedData!F42=0,1,0)</f>
        <v>0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0" t="str">
        <f>OrganizedData!A43</f>
        <v>SF</v>
      </c>
      <c r="E44" s="40" t="str">
        <f>OrganizedData!B43</f>
        <v>Andre Iguodala</v>
      </c>
      <c r="F44" s="40">
        <f>(OrganizedData!C43)*M44</f>
        <v>36.4</v>
      </c>
      <c r="G44" s="35">
        <f>OrganizedData!D43</f>
        <v>4200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40">
        <f>IF(OrganizedData!F43=0,1,0)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0" t="str">
        <f>OrganizedData!A44</f>
        <v>C</v>
      </c>
      <c r="E45" s="40" t="str">
        <f>OrganizedData!B44</f>
        <v>Tyson Chandler</v>
      </c>
      <c r="F45" s="40">
        <f>(OrganizedData!C44)*M45</f>
        <v>29.4</v>
      </c>
      <c r="G45" s="35">
        <f>OrganizedData!D44</f>
        <v>5500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40">
        <f>IF(OrganizedData!F44=0,1,0)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0" t="str">
        <f>OrganizedData!A45</f>
        <v>PF</v>
      </c>
      <c r="E46" s="40" t="str">
        <f>OrganizedData!B45</f>
        <v>Markieff Morris</v>
      </c>
      <c r="F46" s="40">
        <f>(OrganizedData!C45)*M46</f>
        <v>0</v>
      </c>
      <c r="G46" s="35">
        <f>OrganizedData!D45</f>
        <v>6900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40">
        <f>IF(OrganizedData!F45=0,1,0)</f>
        <v>0</v>
      </c>
    </row>
    <row r="47" spans="1:13" x14ac:dyDescent="0.25">
      <c r="A47" t="str">
        <f t="shared" si="1"/>
        <v>PF</v>
      </c>
      <c r="B47" t="str">
        <f>IF(C47=0,0,A47&amp;" "&amp;COUNTIF($A$1:$A47,A47))</f>
        <v>PF 2</v>
      </c>
      <c r="C47" s="1">
        <v>1</v>
      </c>
      <c r="D47" s="40" t="str">
        <f>OrganizedData!A46</f>
        <v>PF</v>
      </c>
      <c r="E47" s="40" t="str">
        <f>OrganizedData!B46</f>
        <v>Draymond Green</v>
      </c>
      <c r="F47" s="40">
        <f>(OrganizedData!C46)*M47</f>
        <v>61.4</v>
      </c>
      <c r="G47" s="35">
        <f>OrganizedData!D46</f>
        <v>8000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1</v>
      </c>
      <c r="L47">
        <f t="shared" si="3"/>
        <v>0</v>
      </c>
      <c r="M47" s="40">
        <f>IF(OrganizedData!F46=0,1,0)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0" t="str">
        <f>OrganizedData!A47</f>
        <v>PG</v>
      </c>
      <c r="E48" s="40" t="str">
        <f>OrganizedData!B47</f>
        <v>Ricky Rubio</v>
      </c>
      <c r="F48" s="40">
        <f>(OrganizedData!C47)*M48</f>
        <v>40.700000000000003</v>
      </c>
      <c r="G48" s="35">
        <f>OrganizedData!D47</f>
        <v>6500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40">
        <f>IF(OrganizedData!F47=0,1,0)</f>
        <v>1</v>
      </c>
    </row>
    <row r="49" spans="1:13" x14ac:dyDescent="0.25">
      <c r="A49" t="str">
        <f t="shared" si="1"/>
        <v>SF</v>
      </c>
      <c r="B49" t="str">
        <f>IF(C49=0,0,A49&amp;" "&amp;COUNTIF($A$1:$A49,A49))</f>
        <v>SF 2</v>
      </c>
      <c r="C49" s="1">
        <v>1</v>
      </c>
      <c r="D49" s="40" t="str">
        <f>OrganizedData!A48</f>
        <v>SF</v>
      </c>
      <c r="E49" s="40" t="str">
        <f>OrganizedData!B48</f>
        <v>Wilson Chandler</v>
      </c>
      <c r="F49" s="40">
        <f>(OrganizedData!C48)*M49</f>
        <v>47.1</v>
      </c>
      <c r="G49" s="35">
        <f>OrganizedData!D48</f>
        <v>6700</v>
      </c>
      <c r="H49">
        <f t="shared" si="2"/>
        <v>0</v>
      </c>
      <c r="I49">
        <f t="shared" si="3"/>
        <v>0</v>
      </c>
      <c r="J49">
        <f t="shared" si="3"/>
        <v>1</v>
      </c>
      <c r="K49">
        <f t="shared" si="3"/>
        <v>0</v>
      </c>
      <c r="L49">
        <f t="shared" si="3"/>
        <v>0</v>
      </c>
      <c r="M49" s="40">
        <f>IF(OrganizedData!F48=0,1,0)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0" t="str">
        <f>OrganizedData!A49</f>
        <v>SG</v>
      </c>
      <c r="E50" s="40" t="str">
        <f>OrganizedData!B49</f>
        <v>Tim Hardaway Jr.</v>
      </c>
      <c r="F50" s="40">
        <f>(OrganizedData!C49)*M50</f>
        <v>40.4</v>
      </c>
      <c r="G50" s="35">
        <f>OrganizedData!D49</f>
        <v>5600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40">
        <f>IF(OrganizedData!F49=0,1,0)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0" t="str">
        <f>OrganizedData!A50</f>
        <v>SF</v>
      </c>
      <c r="E51" s="40" t="str">
        <f>OrganizedData!B50</f>
        <v>Otto Porter</v>
      </c>
      <c r="F51" s="40">
        <f>(OrganizedData!C50)*M51</f>
        <v>39.200000000000003</v>
      </c>
      <c r="G51" s="35">
        <f>OrganizedData!D50</f>
        <v>6700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40">
        <f>IF(OrganizedData!F50=0,1,0)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0" t="str">
        <f>OrganizedData!A51</f>
        <v>SF</v>
      </c>
      <c r="E52" s="40" t="str">
        <f>OrganizedData!B51</f>
        <v>Bojan Bogdanovic</v>
      </c>
      <c r="F52" s="40">
        <f>(OrganizedData!C51)*M52</f>
        <v>36</v>
      </c>
      <c r="G52" s="35">
        <f>OrganizedData!D51</f>
        <v>4600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40">
        <f>IF(OrganizedData!F51=0,1,0)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0" t="str">
        <f>OrganizedData!A52</f>
        <v>PG</v>
      </c>
      <c r="E53" s="40" t="str">
        <f>OrganizedData!B52</f>
        <v>D'Angelo Russell</v>
      </c>
      <c r="F53" s="40">
        <f>(OrganizedData!C52)*M53</f>
        <v>40.9</v>
      </c>
      <c r="G53" s="35">
        <f>OrganizedData!D52</f>
        <v>5900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40">
        <f>IF(OrganizedData!F52=0,1,0)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0" t="str">
        <f>OrganizedData!A53</f>
        <v>C</v>
      </c>
      <c r="E54" s="40" t="str">
        <f>OrganizedData!B53</f>
        <v>Pau Gasol</v>
      </c>
      <c r="F54" s="40">
        <f>(OrganizedData!C53)*M54</f>
        <v>0</v>
      </c>
      <c r="G54" s="35">
        <f>OrganizedData!D53</f>
        <v>6200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40">
        <f>IF(OrganizedData!F53=0,1,0)</f>
        <v>0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0" t="str">
        <f>OrganizedData!A54</f>
        <v>SG</v>
      </c>
      <c r="E55" s="40" t="str">
        <f>OrganizedData!B54</f>
        <v>Tony Allen</v>
      </c>
      <c r="F55" s="40">
        <f>(OrganizedData!C54)*M55</f>
        <v>30.3</v>
      </c>
      <c r="G55" s="35">
        <f>OrganizedData!D54</f>
        <v>4500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40">
        <f>IF(OrganizedData!F54=0,1,0)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0" t="str">
        <f>OrganizedData!A55</f>
        <v>C</v>
      </c>
      <c r="E56" s="40" t="str">
        <f>OrganizedData!B55</f>
        <v>Spencer Hawes</v>
      </c>
      <c r="F56" s="40">
        <f>(OrganizedData!C55)*M56</f>
        <v>0</v>
      </c>
      <c r="G56" s="35">
        <f>OrganizedData!D55</f>
        <v>4700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40">
        <f>IF(OrganizedData!F55=0,1,0)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0" t="str">
        <f>OrganizedData!A56</f>
        <v>SF</v>
      </c>
      <c r="E57" s="40" t="str">
        <f>OrganizedData!B56</f>
        <v>Shabazz Muhammad</v>
      </c>
      <c r="F57" s="40">
        <f>(OrganizedData!C56)*M57</f>
        <v>28.2</v>
      </c>
      <c r="G57" s="35">
        <f>OrganizedData!D56</f>
        <v>4200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40">
        <f>IF(OrganizedData!F56=0,1,0)</f>
        <v>1</v>
      </c>
    </row>
    <row r="58" spans="1:13" x14ac:dyDescent="0.25">
      <c r="A58" t="str">
        <f t="shared" si="1"/>
        <v>PG</v>
      </c>
      <c r="B58" t="str">
        <f>IF(C58=0,0,A58&amp;" "&amp;COUNTIF($A$1:$A58,A58))</f>
        <v>PG 1</v>
      </c>
      <c r="C58" s="1">
        <v>1</v>
      </c>
      <c r="D58" s="40" t="str">
        <f>OrganizedData!A57</f>
        <v>PG</v>
      </c>
      <c r="E58" s="40" t="str">
        <f>OrganizedData!B57</f>
        <v>Brandon Jennings</v>
      </c>
      <c r="F58" s="40">
        <f>(OrganizedData!C57)*M58</f>
        <v>47</v>
      </c>
      <c r="G58" s="35">
        <f>OrganizedData!D57</f>
        <v>5200</v>
      </c>
      <c r="H58">
        <f t="shared" si="2"/>
        <v>1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40">
        <f>IF(OrganizedData!F57=0,1,0)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0" t="str">
        <f>OrganizedData!A58</f>
        <v>SG</v>
      </c>
      <c r="E59" s="40" t="str">
        <f>OrganizedData!B58</f>
        <v>Lance Stephenson</v>
      </c>
      <c r="F59" s="40">
        <f>(OrganizedData!C58)*M59</f>
        <v>6.5</v>
      </c>
      <c r="G59" s="35">
        <f>OrganizedData!D58</f>
        <v>3900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40">
        <f>IF(OrganizedData!F58=0,1,0)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0" t="str">
        <f>OrganizedData!A59</f>
        <v>SF</v>
      </c>
      <c r="E60" s="40" t="str">
        <f>OrganizedData!B59</f>
        <v>Carmelo Anthony</v>
      </c>
      <c r="F60" s="40">
        <f>(OrganizedData!C59)*M60</f>
        <v>48.2</v>
      </c>
      <c r="G60" s="35">
        <f>OrganizedData!D59</f>
        <v>8100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40">
        <f>IF(OrganizedData!F59=0,1,0)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0" t="str">
        <f>OrganizedData!A60</f>
        <v>PF</v>
      </c>
      <c r="E61" s="40" t="str">
        <f>OrganizedData!B60</f>
        <v>Jon Leuer</v>
      </c>
      <c r="F61" s="40">
        <f>(OrganizedData!C60)*M61</f>
        <v>30.6</v>
      </c>
      <c r="G61" s="35">
        <f>OrganizedData!D60</f>
        <v>4900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40">
        <f>IF(OrganizedData!F60=0,1,0)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0" t="str">
        <f>OrganizedData!A61</f>
        <v>PG</v>
      </c>
      <c r="E62" s="40" t="str">
        <f>OrganizedData!B61</f>
        <v>Tyler Johnson</v>
      </c>
      <c r="F62" s="40">
        <f>(OrganizedData!C61)*M62</f>
        <v>34.200000000000003</v>
      </c>
      <c r="G62" s="35">
        <f>OrganizedData!D61</f>
        <v>5600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40">
        <f>IF(OrganizedData!F61=0,1,0)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0" t="str">
        <f>OrganizedData!A62</f>
        <v>SF</v>
      </c>
      <c r="E63" s="40" t="str">
        <f>OrganizedData!B62</f>
        <v>Matt Barnes</v>
      </c>
      <c r="F63" s="40">
        <f>(OrganizedData!C62)*M63</f>
        <v>37.299999999999997</v>
      </c>
      <c r="G63" s="35">
        <f>OrganizedData!D62</f>
        <v>5100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40">
        <f>IF(OrganizedData!F62=0,1,0)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0" t="str">
        <f>OrganizedData!A63</f>
        <v>PG</v>
      </c>
      <c r="E64" s="40" t="str">
        <f>OrganizedData!B63</f>
        <v>Emmanuel Mudiay</v>
      </c>
      <c r="F64" s="40">
        <f>(OrganizedData!C63)*M64</f>
        <v>0</v>
      </c>
      <c r="G64" s="35">
        <f>OrganizedData!D63</f>
        <v>4900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40">
        <f>IF(OrganizedData!F63=0,1,0)</f>
        <v>0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0" t="str">
        <f>OrganizedData!A64</f>
        <v>PF</v>
      </c>
      <c r="E65" s="40" t="str">
        <f>OrganizedData!B64</f>
        <v>Paul Millsap</v>
      </c>
      <c r="F65" s="40">
        <f>(OrganizedData!C64)*M65</f>
        <v>50.3</v>
      </c>
      <c r="G65" s="35">
        <f>OrganizedData!D64</f>
        <v>7800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40">
        <f>IF(OrganizedData!F64=0,1,0)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40" t="str">
        <f>OrganizedData!A65</f>
        <v>PG</v>
      </c>
      <c r="E66" s="40" t="str">
        <f>OrganizedData!B65</f>
        <v>Michael Carter-Williams</v>
      </c>
      <c r="F66" s="40">
        <f>(OrganizedData!C65)*M66</f>
        <v>43.8</v>
      </c>
      <c r="G66" s="35">
        <f>OrganizedData!D65</f>
        <v>4700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40">
        <f>IF(OrganizedData!F65=0,1,0)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0" t="str">
        <f>OrganizedData!A66</f>
        <v>SF</v>
      </c>
      <c r="E67" s="40" t="str">
        <f>OrganizedData!B66</f>
        <v>P.J. Tucker</v>
      </c>
      <c r="F67" s="40">
        <f>(OrganizedData!C66)*M67</f>
        <v>33.799999999999997</v>
      </c>
      <c r="G67" s="35">
        <f>OrganizedData!D66</f>
        <v>4700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40">
        <f>IF(OrganizedData!F66=0,1,0)</f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0" t="str">
        <f>OrganizedData!A67</f>
        <v>PF</v>
      </c>
      <c r="E68" s="40" t="str">
        <f>OrganizedData!B67</f>
        <v>James Johnson</v>
      </c>
      <c r="F68" s="40">
        <f>(OrganizedData!C67)*M68</f>
        <v>43.6</v>
      </c>
      <c r="G68" s="35">
        <f>OrganizedData!D67</f>
        <v>6000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40">
        <f>IF(OrganizedData!F67=0,1,0)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0" t="str">
        <f>OrganizedData!A68</f>
        <v>PF</v>
      </c>
      <c r="E69" s="40" t="str">
        <f>OrganizedData!B68</f>
        <v>Omri Casspi</v>
      </c>
      <c r="F69" s="40">
        <f>(OrganizedData!C68)*M69</f>
        <v>0</v>
      </c>
      <c r="G69" s="35">
        <f>OrganizedData!D68</f>
        <v>3600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40">
        <f>IF(OrganizedData!F68=0,1,0)</f>
        <v>0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0" t="str">
        <f>OrganizedData!A69</f>
        <v>C</v>
      </c>
      <c r="E70" s="40" t="str">
        <f>OrganizedData!B69</f>
        <v>Robin Lopez</v>
      </c>
      <c r="F70" s="40">
        <f>(OrganizedData!C69)*M70</f>
        <v>36</v>
      </c>
      <c r="G70" s="35">
        <f>OrganizedData!D69</f>
        <v>5000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40">
        <f>IF(OrganizedData!F69=0,1,0)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0" t="str">
        <f>OrganizedData!A70</f>
        <v>PF</v>
      </c>
      <c r="E71" s="40" t="str">
        <f>OrganizedData!B70</f>
        <v>Jared Dudley</v>
      </c>
      <c r="F71" s="40">
        <f>(OrganizedData!C70)*M71</f>
        <v>24.2</v>
      </c>
      <c r="G71" s="35">
        <f>OrganizedData!D70</f>
        <v>3600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40">
        <f>IF(OrganizedData!F70=0,1,0)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0" t="str">
        <f>OrganizedData!A71</f>
        <v>C</v>
      </c>
      <c r="E72" s="40" t="str">
        <f>OrganizedData!B71</f>
        <v>Guillermo Hernangomez</v>
      </c>
      <c r="F72" s="40">
        <f>(OrganizedData!C71)*M72</f>
        <v>43.2</v>
      </c>
      <c r="G72" s="35">
        <f>OrganizedData!D71</f>
        <v>5900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40">
        <f>IF(OrganizedData!F71=0,1,0)</f>
        <v>1</v>
      </c>
    </row>
    <row r="73" spans="1:13" x14ac:dyDescent="0.25">
      <c r="A73" t="str">
        <f t="shared" si="5"/>
        <v>PG</v>
      </c>
      <c r="B73" t="str">
        <f>IF(C73=0,0,A73&amp;" "&amp;COUNTIF($A$1:$A73,A73))</f>
        <v>PG 2</v>
      </c>
      <c r="C73" s="1">
        <v>1</v>
      </c>
      <c r="D73" s="40" t="str">
        <f>OrganizedData!A72</f>
        <v>PG</v>
      </c>
      <c r="E73" s="40" t="str">
        <f>OrganizedData!B72</f>
        <v>Jameer Nelson</v>
      </c>
      <c r="F73" s="40">
        <f>(OrganizedData!C72)*M73</f>
        <v>37.6</v>
      </c>
      <c r="G73" s="35">
        <f>OrganizedData!D72</f>
        <v>4400</v>
      </c>
      <c r="H73">
        <f t="shared" si="6"/>
        <v>1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40">
        <f>IF(OrganizedData!F72=0,1,0)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0" t="str">
        <f>OrganizedData!A73</f>
        <v>C</v>
      </c>
      <c r="E74" s="40" t="str">
        <f>OrganizedData!B73</f>
        <v>Zaza Pachulia</v>
      </c>
      <c r="F74" s="40">
        <f>(OrganizedData!C73)*M74</f>
        <v>0</v>
      </c>
      <c r="G74" s="35">
        <f>OrganizedData!D73</f>
        <v>4400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40">
        <f>IF(OrganizedData!F73=0,1,0)</f>
        <v>0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0" t="str">
        <f>OrganizedData!A74</f>
        <v>PG</v>
      </c>
      <c r="E75" s="40" t="str">
        <f>OrganizedData!B74</f>
        <v>Reggie Jackson</v>
      </c>
      <c r="F75" s="40">
        <f>(OrganizedData!C74)*M75</f>
        <v>29</v>
      </c>
      <c r="G75" s="35">
        <f>OrganizedData!D74</f>
        <v>5700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40">
        <f>IF(OrganizedData!F74=0,1,0)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0" t="str">
        <f>OrganizedData!A75</f>
        <v>C</v>
      </c>
      <c r="E76" s="40" t="str">
        <f>OrganizedData!B75</f>
        <v>Tarik Black</v>
      </c>
      <c r="F76" s="40">
        <f>(OrganizedData!C75)*M76</f>
        <v>24.7</v>
      </c>
      <c r="G76" s="35">
        <f>OrganizedData!D75</f>
        <v>4200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40">
        <f>IF(OrganizedData!F75=0,1,0)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0" t="str">
        <f>OrganizedData!A76</f>
        <v>PF</v>
      </c>
      <c r="E77" s="40" t="str">
        <f>OrganizedData!B76</f>
        <v>Taj Gibson</v>
      </c>
      <c r="F77" s="40">
        <f>(OrganizedData!C76)*M77</f>
        <v>33.700000000000003</v>
      </c>
      <c r="G77" s="35">
        <f>OrganizedData!D76</f>
        <v>5000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40">
        <f>IF(OrganizedData!F76=0,1,0)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0" t="str">
        <f>OrganizedData!A77</f>
        <v>PG</v>
      </c>
      <c r="E78" s="40" t="str">
        <f>OrganizedData!B77</f>
        <v>Wade Baldwin IV</v>
      </c>
      <c r="F78" s="40">
        <f>(OrganizedData!C77)*M78</f>
        <v>0</v>
      </c>
      <c r="G78" s="35">
        <f>OrganizedData!D77</f>
        <v>3500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40">
        <f>IF(OrganizedData!F77=0,1,0)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0" t="str">
        <f>OrganizedData!A78</f>
        <v>PG</v>
      </c>
      <c r="E79" s="40" t="str">
        <f>OrganizedData!B78</f>
        <v>Darren Collison</v>
      </c>
      <c r="F79" s="40">
        <f>(OrganizedData!C78)*M79</f>
        <v>41.2</v>
      </c>
      <c r="G79" s="35">
        <f>OrganizedData!D78</f>
        <v>5200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40">
        <f>IF(OrganizedData!F78=0,1,0)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0" t="str">
        <f>OrganizedData!A79</f>
        <v>PF</v>
      </c>
      <c r="E80" s="40" t="str">
        <f>OrganizedData!B79</f>
        <v>Alex Len</v>
      </c>
      <c r="F80" s="40">
        <f>(OrganizedData!C79)*M80</f>
        <v>26.8</v>
      </c>
      <c r="G80" s="35">
        <f>OrganizedData!D79</f>
        <v>3600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40">
        <f>IF(OrganizedData!F79=0,1,0)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0" t="str">
        <f>OrganizedData!A80</f>
        <v>PG</v>
      </c>
      <c r="E81" s="40" t="str">
        <f>OrganizedData!B80</f>
        <v>Jamal Murray</v>
      </c>
      <c r="F81" s="40">
        <f>(OrganizedData!C80)*M81</f>
        <v>23.8</v>
      </c>
      <c r="G81" s="35">
        <f>OrganizedData!D80</f>
        <v>4000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40">
        <f>IF(OrganizedData!F80=0,1,0)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0" t="str">
        <f>OrganizedData!A81</f>
        <v>PF</v>
      </c>
      <c r="E82" s="40" t="str">
        <f>OrganizedData!B81</f>
        <v>Bobby Portis</v>
      </c>
      <c r="F82" s="40">
        <f>(OrganizedData!C81)*M82</f>
        <v>23.2</v>
      </c>
      <c r="G82" s="35">
        <f>OrganizedData!D81</f>
        <v>3500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40">
        <f>IF(OrganizedData!F81=0,1,0)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0" t="str">
        <f>OrganizedData!A82</f>
        <v>C</v>
      </c>
      <c r="E83" s="40" t="str">
        <f>OrganizedData!B82</f>
        <v>John Henson</v>
      </c>
      <c r="F83" s="40">
        <f>(OrganizedData!C82)*M83</f>
        <v>32</v>
      </c>
      <c r="G83" s="35">
        <f>OrganizedData!D82</f>
        <v>3900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40">
        <f>IF(OrganizedData!F82=0,1,0)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0" t="str">
        <f>OrganizedData!A83</f>
        <v>SG</v>
      </c>
      <c r="E84" s="40" t="str">
        <f>OrganizedData!B83</f>
        <v>Sean Kilpatrick</v>
      </c>
      <c r="F84" s="40">
        <f>(OrganizedData!C83)*M84</f>
        <v>28</v>
      </c>
      <c r="G84" s="35">
        <f>OrganizedData!D83</f>
        <v>3800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40">
        <f>IF(OrganizedData!F83=0,1,0)</f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0" t="str">
        <f>OrganizedData!A84</f>
        <v>C</v>
      </c>
      <c r="E85" s="40" t="str">
        <f>OrganizedData!B84</f>
        <v>Kyle O'Quinn</v>
      </c>
      <c r="F85" s="40">
        <f>(OrganizedData!C84)*M85</f>
        <v>37.200000000000003</v>
      </c>
      <c r="G85" s="35">
        <f>OrganizedData!D84</f>
        <v>4200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40">
        <f>IF(OrganizedData!F84=0,1,0)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0" t="str">
        <f>OrganizedData!A85</f>
        <v>SG</v>
      </c>
      <c r="E86" s="40" t="str">
        <f>OrganizedData!B85</f>
        <v>Nick Young</v>
      </c>
      <c r="F86" s="40">
        <f>(OrganizedData!C85)*M86</f>
        <v>37.4</v>
      </c>
      <c r="G86" s="35">
        <f>OrganizedData!D85</f>
        <v>4300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40">
        <f>IF(OrganizedData!F85=0,1,0)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0" t="str">
        <f>OrganizedData!A86</f>
        <v>SG</v>
      </c>
      <c r="E87" s="40" t="str">
        <f>OrganizedData!B86</f>
        <v>Brandon Knight</v>
      </c>
      <c r="F87" s="40">
        <f>(OrganizedData!C86)*M87</f>
        <v>22.4</v>
      </c>
      <c r="G87" s="35">
        <f>OrganizedData!D86</f>
        <v>3700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40">
        <f>IF(OrganizedData!F86=0,1,0)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0" t="str">
        <f>OrganizedData!A87</f>
        <v>C</v>
      </c>
      <c r="E88" s="40" t="str">
        <f>OrganizedData!B87</f>
        <v>Dewayne Dedmon</v>
      </c>
      <c r="F88" s="40">
        <f>(OrganizedData!C87)*M88</f>
        <v>40.4</v>
      </c>
      <c r="G88" s="35">
        <f>OrganizedData!D87</f>
        <v>4000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40">
        <f>IF(OrganizedData!F87=0,1,0)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0" t="str">
        <f>OrganizedData!A88</f>
        <v>SF</v>
      </c>
      <c r="E89" s="40" t="str">
        <f>OrganizedData!B88</f>
        <v>C.J. Miles</v>
      </c>
      <c r="F89" s="40">
        <f>(OrganizedData!C88)*M89</f>
        <v>28.8</v>
      </c>
      <c r="G89" s="35">
        <f>OrganizedData!D88</f>
        <v>4200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40">
        <f>IF(OrganizedData!F88=0,1,0)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0" t="str">
        <f>OrganizedData!A89</f>
        <v>SG</v>
      </c>
      <c r="E90" s="40" t="str">
        <f>OrganizedData!B89</f>
        <v>Justin Holiday</v>
      </c>
      <c r="F90" s="40">
        <f>(OrganizedData!C89)*M90</f>
        <v>25.8</v>
      </c>
      <c r="G90" s="35">
        <f>OrganizedData!D89</f>
        <v>3600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40">
        <f>IF(OrganizedData!F89=0,1,0)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0" t="str">
        <f>OrganizedData!A90</f>
        <v>PG</v>
      </c>
      <c r="E91" s="40" t="str">
        <f>OrganizedData!B90</f>
        <v>Tyus Jones</v>
      </c>
      <c r="F91" s="40">
        <f>(OrganizedData!C90)*M91</f>
        <v>0</v>
      </c>
      <c r="G91" s="35">
        <f>OrganizedData!D90</f>
        <v>4100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40">
        <f>IF(OrganizedData!F90=0,1,0)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0" t="str">
        <f>OrganizedData!A91</f>
        <v>C</v>
      </c>
      <c r="E92" s="40" t="str">
        <f>OrganizedData!B91</f>
        <v>Boban Marjanovic</v>
      </c>
      <c r="F92" s="40">
        <f>(OrganizedData!C91)*M92</f>
        <v>0</v>
      </c>
      <c r="G92" s="35">
        <f>OrganizedData!D91</f>
        <v>3500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40">
        <f>IF(OrganizedData!F91=0,1,0)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0" t="str">
        <f>OrganizedData!A92</f>
        <v>SF</v>
      </c>
      <c r="E93" s="40" t="str">
        <f>OrganizedData!B92</f>
        <v>Chandler Parsons</v>
      </c>
      <c r="F93" s="40">
        <f>(OrganizedData!C92)*M93</f>
        <v>0</v>
      </c>
      <c r="G93" s="35">
        <f>OrganizedData!D92</f>
        <v>3600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40">
        <f>IF(OrganizedData!F92=0,1,0)</f>
        <v>0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0" t="str">
        <f>OrganizedData!A93</f>
        <v>PF</v>
      </c>
      <c r="E94" s="40" t="str">
        <f>OrganizedData!B93</f>
        <v>Gorgui Dieng</v>
      </c>
      <c r="F94" s="40">
        <f>(OrganizedData!C93)*M94</f>
        <v>30.6</v>
      </c>
      <c r="G94" s="35">
        <f>OrganizedData!D93</f>
        <v>5500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40">
        <f>IF(OrganizedData!F93=0,1,0)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0" t="str">
        <f>OrganizedData!A94</f>
        <v>C</v>
      </c>
      <c r="E95" s="40" t="str">
        <f>OrganizedData!B94</f>
        <v>Aron Baynes</v>
      </c>
      <c r="F95" s="40">
        <f>(OrganizedData!C94)*M95</f>
        <v>23.9</v>
      </c>
      <c r="G95" s="35">
        <f>OrganizedData!D94</f>
        <v>3600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40">
        <f>IF(OrganizedData!F94=0,1,0)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0" t="str">
        <f>OrganizedData!A95</f>
        <v>C</v>
      </c>
      <c r="E96" s="40" t="str">
        <f>OrganizedData!B95</f>
        <v>Alexis Ajinca</v>
      </c>
      <c r="F96" s="40">
        <f>(OrganizedData!C95)*M96</f>
        <v>31</v>
      </c>
      <c r="G96" s="35">
        <f>OrganizedData!D95</f>
        <v>3500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40">
        <f>IF(OrganizedData!F95=0,1,0)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0" t="str">
        <f>OrganizedData!A96</f>
        <v>SG</v>
      </c>
      <c r="E97" s="40" t="str">
        <f>OrganizedData!B96</f>
        <v>Bryn Forbes</v>
      </c>
      <c r="F97" s="40">
        <f>(OrganizedData!C96)*M97</f>
        <v>0</v>
      </c>
      <c r="G97" s="35">
        <f>OrganizedData!D96</f>
        <v>3500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40">
        <f>IF(OrganizedData!F96=0,1,0)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0" t="str">
        <f>OrganizedData!A97</f>
        <v>C</v>
      </c>
      <c r="E98" s="40" t="str">
        <f>OrganizedData!B97</f>
        <v>Myles Turner</v>
      </c>
      <c r="F98" s="40">
        <f>(OrganizedData!C97)*M98</f>
        <v>32.700000000000003</v>
      </c>
      <c r="G98" s="35">
        <f>OrganizedData!D97</f>
        <v>6400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40">
        <f>IF(OrganizedData!F97=0,1,0)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0" t="str">
        <f>OrganizedData!A98</f>
        <v>SG</v>
      </c>
      <c r="E99" s="40" t="str">
        <f>OrganizedData!B98</f>
        <v>Garrett Temple</v>
      </c>
      <c r="F99" s="40">
        <f>(OrganizedData!C98)*M99</f>
        <v>0</v>
      </c>
      <c r="G99" s="35">
        <f>OrganizedData!D98</f>
        <v>4100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40">
        <f>IF(OrganizedData!F98=0,1,0)</f>
        <v>0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0" t="str">
        <f>OrganizedData!A99</f>
        <v>SG</v>
      </c>
      <c r="E100" s="40" t="str">
        <f>OrganizedData!B99</f>
        <v>Wayne Ellington</v>
      </c>
      <c r="F100" s="40">
        <f>(OrganizedData!C99)*M100</f>
        <v>23</v>
      </c>
      <c r="G100" s="35">
        <f>OrganizedData!D99</f>
        <v>3700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40">
        <f>IF(OrganizedData!F99=0,1,0)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0" t="str">
        <f>OrganizedData!A100</f>
        <v>SG</v>
      </c>
      <c r="E101" s="40" t="str">
        <f>OrganizedData!B100</f>
        <v>Courtney Lee</v>
      </c>
      <c r="F101" s="40">
        <f>(OrganizedData!C100)*M101</f>
        <v>26.6</v>
      </c>
      <c r="G101" s="35">
        <f>OrganizedData!D100</f>
        <v>4400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40">
        <f>IF(OrganizedData!F100=0,1,0)</f>
        <v>1</v>
      </c>
    </row>
    <row r="102" spans="1:13" x14ac:dyDescent="0.25">
      <c r="C102" s="1">
        <v>0</v>
      </c>
      <c r="E102" s="2"/>
      <c r="G102" s="35">
        <f>OrganizedData!D101</f>
        <v>3500</v>
      </c>
      <c r="M102" s="2"/>
    </row>
    <row r="103" spans="1:13" x14ac:dyDescent="0.25">
      <c r="C103" s="1">
        <v>0</v>
      </c>
      <c r="E103" s="2"/>
      <c r="G103" s="35">
        <f>OrganizedData!D102</f>
        <v>3600</v>
      </c>
      <c r="M103" s="2"/>
    </row>
    <row r="104" spans="1:13" x14ac:dyDescent="0.25">
      <c r="C104" s="1">
        <v>0</v>
      </c>
      <c r="E104" s="2"/>
      <c r="G104" s="35">
        <f>OrganizedData!D103</f>
        <v>4600</v>
      </c>
      <c r="M104" s="2"/>
    </row>
    <row r="105" spans="1:13" x14ac:dyDescent="0.25">
      <c r="C105" s="1">
        <v>0</v>
      </c>
      <c r="E105" s="2"/>
      <c r="G105" s="35">
        <f>OrganizedData!D104</f>
        <v>5100</v>
      </c>
      <c r="M105" s="2"/>
    </row>
    <row r="106" spans="1:13" x14ac:dyDescent="0.25">
      <c r="C106" s="1">
        <v>0</v>
      </c>
      <c r="E106" s="2"/>
      <c r="G106" s="35">
        <f>OrganizedData!D105</f>
        <v>4500</v>
      </c>
      <c r="M106" s="2"/>
    </row>
    <row r="107" spans="1:13" x14ac:dyDescent="0.25">
      <c r="C107" s="1">
        <v>0</v>
      </c>
      <c r="E107" s="2"/>
      <c r="G107" s="35">
        <f>OrganizedData!D106</f>
        <v>3800</v>
      </c>
      <c r="M107" s="2"/>
    </row>
    <row r="108" spans="1:13" x14ac:dyDescent="0.25">
      <c r="C108" s="1">
        <v>0</v>
      </c>
      <c r="E108" s="2"/>
      <c r="G108" s="35">
        <f>OrganizedData!D107</f>
        <v>3700</v>
      </c>
      <c r="M108" s="2"/>
    </row>
    <row r="109" spans="1:13" x14ac:dyDescent="0.25">
      <c r="C109" s="1">
        <v>0</v>
      </c>
      <c r="E109" s="2"/>
      <c r="G109" s="35">
        <f>OrganizedData!D108</f>
        <v>3500</v>
      </c>
      <c r="M109" s="2"/>
    </row>
    <row r="110" spans="1:13" x14ac:dyDescent="0.25">
      <c r="C110" s="1">
        <v>0</v>
      </c>
      <c r="E110" s="2"/>
      <c r="G110" s="35">
        <f>OrganizedData!D109</f>
        <v>5100</v>
      </c>
      <c r="M110" s="2"/>
    </row>
    <row r="111" spans="1:13" x14ac:dyDescent="0.25">
      <c r="C111" s="1">
        <v>0</v>
      </c>
      <c r="E111" s="2"/>
      <c r="G111" s="35">
        <f>OrganizedData!D110</f>
        <v>3500</v>
      </c>
      <c r="M111" s="2"/>
    </row>
    <row r="112" spans="1:13" x14ac:dyDescent="0.25">
      <c r="C112" s="1">
        <v>0</v>
      </c>
      <c r="E112" s="2"/>
      <c r="G112" s="35">
        <f>OrganizedData!D111</f>
        <v>4400</v>
      </c>
      <c r="M112" s="2"/>
    </row>
    <row r="113" spans="3:13" x14ac:dyDescent="0.25">
      <c r="C113" s="1">
        <v>0</v>
      </c>
      <c r="E113" s="2"/>
      <c r="G113" s="35">
        <f>OrganizedData!D112</f>
        <v>5500</v>
      </c>
      <c r="M113" s="2"/>
    </row>
    <row r="114" spans="3:13" x14ac:dyDescent="0.25">
      <c r="C114" s="1">
        <v>0</v>
      </c>
      <c r="E114" s="2"/>
      <c r="G114" s="35">
        <f>OrganizedData!D113</f>
        <v>3500</v>
      </c>
      <c r="M114" s="2"/>
    </row>
    <row r="115" spans="3:13" x14ac:dyDescent="0.25">
      <c r="C115" s="1">
        <v>0</v>
      </c>
      <c r="E115" s="2"/>
      <c r="G115" s="35">
        <f>OrganizedData!D114</f>
        <v>3500</v>
      </c>
      <c r="M115" s="2"/>
    </row>
    <row r="116" spans="3:13" x14ac:dyDescent="0.25">
      <c r="C116" s="1">
        <v>0</v>
      </c>
      <c r="E116" s="2"/>
      <c r="G116" s="35">
        <f>OrganizedData!D115</f>
        <v>4700</v>
      </c>
      <c r="M116" s="2"/>
    </row>
    <row r="117" spans="3:13" x14ac:dyDescent="0.25">
      <c r="C117" s="1">
        <v>0</v>
      </c>
      <c r="E117" s="2"/>
      <c r="G117" s="35">
        <f>OrganizedData!D116</f>
        <v>3500</v>
      </c>
      <c r="M117" s="2"/>
    </row>
    <row r="118" spans="3:13" x14ac:dyDescent="0.25">
      <c r="C118" s="1">
        <v>0</v>
      </c>
      <c r="E118" s="2"/>
      <c r="G118" s="35">
        <f>OrganizedData!D117</f>
        <v>4100</v>
      </c>
      <c r="M118" s="2"/>
    </row>
    <row r="119" spans="3:13" x14ac:dyDescent="0.25">
      <c r="C119" s="1">
        <v>0</v>
      </c>
      <c r="E119" s="2"/>
      <c r="G119" s="35">
        <f>OrganizedData!D118</f>
        <v>3900</v>
      </c>
      <c r="M119" s="2"/>
    </row>
    <row r="120" spans="3:13" x14ac:dyDescent="0.25">
      <c r="C120" s="1">
        <v>0</v>
      </c>
      <c r="E120" s="2"/>
      <c r="G120" s="35">
        <f>OrganizedData!D119</f>
        <v>3600</v>
      </c>
      <c r="M120" s="2"/>
    </row>
    <row r="121" spans="3:13" x14ac:dyDescent="0.25">
      <c r="C121" s="1">
        <v>0</v>
      </c>
      <c r="E121" s="2"/>
      <c r="G121" s="35">
        <f>OrganizedData!D120</f>
        <v>4500</v>
      </c>
      <c r="M121" s="2"/>
    </row>
    <row r="122" spans="3:13" x14ac:dyDescent="0.25">
      <c r="C122" s="1">
        <v>0</v>
      </c>
      <c r="E122" s="2"/>
      <c r="G122" s="35">
        <f>OrganizedData!D121</f>
        <v>3500</v>
      </c>
      <c r="M122" s="2"/>
    </row>
    <row r="123" spans="3:13" x14ac:dyDescent="0.25">
      <c r="C123" s="1">
        <v>0</v>
      </c>
      <c r="E123" s="2"/>
      <c r="G123" s="35">
        <f>OrganizedData!D122</f>
        <v>3500</v>
      </c>
      <c r="M123" s="2"/>
    </row>
    <row r="124" spans="3:13" x14ac:dyDescent="0.25">
      <c r="C124" s="1">
        <v>0</v>
      </c>
      <c r="E124" s="2"/>
      <c r="G124" s="35">
        <f>OrganizedData!D123</f>
        <v>4200</v>
      </c>
      <c r="M124" s="2"/>
    </row>
    <row r="125" spans="3:13" x14ac:dyDescent="0.25">
      <c r="C125" s="1">
        <v>0</v>
      </c>
      <c r="E125" s="2"/>
      <c r="G125" s="35">
        <f>OrganizedData!D124</f>
        <v>4400</v>
      </c>
      <c r="M125" s="2"/>
    </row>
    <row r="126" spans="3:13" x14ac:dyDescent="0.25">
      <c r="C126" s="1">
        <v>0</v>
      </c>
      <c r="E126" s="2"/>
      <c r="G126" s="35">
        <f>OrganizedData!D125</f>
        <v>3700</v>
      </c>
      <c r="M126" s="2"/>
    </row>
    <row r="127" spans="3:13" x14ac:dyDescent="0.25">
      <c r="C127" s="1">
        <v>0</v>
      </c>
      <c r="E127" s="2"/>
      <c r="G127" s="35">
        <f>OrganizedData!D126</f>
        <v>3800</v>
      </c>
      <c r="M127" s="2"/>
    </row>
    <row r="128" spans="3:13" x14ac:dyDescent="0.25">
      <c r="C128" s="1">
        <v>0</v>
      </c>
      <c r="E128" s="2"/>
      <c r="G128" s="35">
        <f>OrganizedData!D127</f>
        <v>3800</v>
      </c>
      <c r="M128" s="2"/>
    </row>
    <row r="129" spans="3:13" x14ac:dyDescent="0.25">
      <c r="C129" s="1">
        <v>0</v>
      </c>
      <c r="E129" s="2"/>
      <c r="G129" s="35">
        <f>OrganizedData!D128</f>
        <v>3600</v>
      </c>
      <c r="M129" s="2"/>
    </row>
    <row r="130" spans="3:13" x14ac:dyDescent="0.25">
      <c r="C130" s="1">
        <v>0</v>
      </c>
      <c r="E130" s="2"/>
      <c r="G130" s="35">
        <f>OrganizedData!D129</f>
        <v>3500</v>
      </c>
      <c r="M130" s="2"/>
    </row>
    <row r="131" spans="3:13" x14ac:dyDescent="0.25">
      <c r="C131" s="1">
        <v>0</v>
      </c>
      <c r="E131" s="2"/>
      <c r="G131" s="35">
        <f>OrganizedData!D130</f>
        <v>3500</v>
      </c>
      <c r="M131" s="2"/>
    </row>
    <row r="132" spans="3:13" x14ac:dyDescent="0.25">
      <c r="C132" s="1">
        <v>0</v>
      </c>
      <c r="E132" s="2"/>
      <c r="G132" s="35">
        <f>OrganizedData!D131</f>
        <v>5200</v>
      </c>
      <c r="M132" s="2"/>
    </row>
    <row r="133" spans="3:13" x14ac:dyDescent="0.25">
      <c r="C133" s="1">
        <v>0</v>
      </c>
      <c r="E133" s="2"/>
      <c r="G133" s="35">
        <f>OrganizedData!D132</f>
        <v>3500</v>
      </c>
      <c r="M133" s="2"/>
    </row>
    <row r="134" spans="3:13" x14ac:dyDescent="0.25">
      <c r="C134" s="1">
        <v>0</v>
      </c>
      <c r="E134" s="2"/>
      <c r="G134" s="35">
        <f>OrganizedData!D133</f>
        <v>3600</v>
      </c>
      <c r="M134" s="2"/>
    </row>
    <row r="135" spans="3:13" x14ac:dyDescent="0.25">
      <c r="C135" s="1">
        <v>0</v>
      </c>
      <c r="E135" s="2"/>
      <c r="G135" s="35">
        <f>OrganizedData!D134</f>
        <v>4100</v>
      </c>
      <c r="M135" s="2"/>
    </row>
    <row r="136" spans="3:13" x14ac:dyDescent="0.25">
      <c r="C136" s="1">
        <v>0</v>
      </c>
      <c r="E136" s="2"/>
      <c r="G136" s="35">
        <f>OrganizedData!D135</f>
        <v>4000</v>
      </c>
      <c r="M136" s="2"/>
    </row>
    <row r="137" spans="3:13" x14ac:dyDescent="0.25">
      <c r="C137" s="1">
        <v>0</v>
      </c>
      <c r="E137" s="2"/>
      <c r="G137" s="35">
        <f>OrganizedData!D136</f>
        <v>3800</v>
      </c>
      <c r="M137" s="2"/>
    </row>
    <row r="138" spans="3:13" x14ac:dyDescent="0.25">
      <c r="C138" s="1">
        <v>0</v>
      </c>
      <c r="E138" s="2"/>
      <c r="G138" s="35">
        <f>OrganizedData!D137</f>
        <v>3700</v>
      </c>
      <c r="M138" s="2"/>
    </row>
    <row r="139" spans="3:13" x14ac:dyDescent="0.25">
      <c r="C139" s="1">
        <v>0</v>
      </c>
      <c r="E139" s="2"/>
      <c r="G139" s="35">
        <f>OrganizedData!D138</f>
        <v>3500</v>
      </c>
      <c r="M139" s="2"/>
    </row>
    <row r="140" spans="3:13" x14ac:dyDescent="0.25">
      <c r="C140" s="1">
        <v>0</v>
      </c>
      <c r="E140" s="2"/>
      <c r="G140" s="35">
        <f>OrganizedData!D139</f>
        <v>3500</v>
      </c>
      <c r="M140" s="2"/>
    </row>
    <row r="141" spans="3:13" x14ac:dyDescent="0.25">
      <c r="C141" s="1">
        <v>0</v>
      </c>
      <c r="E141" s="2"/>
      <c r="G141" s="35">
        <f>OrganizedData!D140</f>
        <v>4200</v>
      </c>
      <c r="M141" s="2"/>
    </row>
    <row r="142" spans="3:13" x14ac:dyDescent="0.25">
      <c r="C142" s="1">
        <v>0</v>
      </c>
      <c r="E142" s="2"/>
      <c r="G142" s="35">
        <f>OrganizedData!D141</f>
        <v>3500</v>
      </c>
      <c r="M142" s="2"/>
    </row>
    <row r="143" spans="3:13" x14ac:dyDescent="0.25">
      <c r="C143" s="1">
        <v>0</v>
      </c>
      <c r="E143" s="2"/>
      <c r="G143" s="35">
        <f>OrganizedData!D142</f>
        <v>3500</v>
      </c>
      <c r="M143" s="2"/>
    </row>
    <row r="144" spans="3:13" x14ac:dyDescent="0.25">
      <c r="C144" s="1">
        <v>0</v>
      </c>
      <c r="E144" s="2"/>
      <c r="G144" s="35">
        <f>OrganizedData!D143</f>
        <v>3500</v>
      </c>
      <c r="M144" s="2"/>
    </row>
    <row r="145" spans="3:13" x14ac:dyDescent="0.25">
      <c r="C145" s="1">
        <v>0</v>
      </c>
      <c r="E145" s="2"/>
      <c r="G145" s="35">
        <f>OrganizedData!D144</f>
        <v>3500</v>
      </c>
      <c r="M145" s="2"/>
    </row>
    <row r="146" spans="3:13" x14ac:dyDescent="0.25">
      <c r="C146" s="1">
        <v>0</v>
      </c>
      <c r="E146" s="2"/>
      <c r="G146" s="35">
        <f>OrganizedData!D145</f>
        <v>3500</v>
      </c>
      <c r="M146" s="2"/>
    </row>
    <row r="147" spans="3:13" x14ac:dyDescent="0.25">
      <c r="C147" s="1">
        <v>0</v>
      </c>
      <c r="E147" s="2"/>
      <c r="G147" s="35">
        <f>OrganizedData!D146</f>
        <v>3600</v>
      </c>
      <c r="M147" s="2"/>
    </row>
    <row r="148" spans="3:13" x14ac:dyDescent="0.25">
      <c r="C148" s="1">
        <v>0</v>
      </c>
      <c r="E148" s="2"/>
      <c r="G148" s="35">
        <f>OrganizedData!D147</f>
        <v>3500</v>
      </c>
      <c r="M148" s="2"/>
    </row>
    <row r="149" spans="3:13" x14ac:dyDescent="0.25">
      <c r="C149" s="1">
        <v>0</v>
      </c>
      <c r="E149" s="2"/>
      <c r="G149" s="35">
        <f>OrganizedData!D148</f>
        <v>3500</v>
      </c>
      <c r="M149" s="2"/>
    </row>
    <row r="150" spans="3:13" x14ac:dyDescent="0.25">
      <c r="C150" s="1">
        <v>0</v>
      </c>
      <c r="E150" s="2"/>
      <c r="G150" s="35">
        <f>OrganizedData!D149</f>
        <v>3500</v>
      </c>
      <c r="M150" s="2"/>
    </row>
    <row r="151" spans="3:13" x14ac:dyDescent="0.25">
      <c r="C151" s="1"/>
      <c r="E151" s="2"/>
      <c r="G151" s="35">
        <f>OrganizedData!D150</f>
        <v>3700</v>
      </c>
    </row>
    <row r="152" spans="3:13" x14ac:dyDescent="0.25">
      <c r="C152" s="1"/>
      <c r="E152" s="2"/>
      <c r="G152" s="35">
        <f>OrganizedData!D151</f>
        <v>3700</v>
      </c>
    </row>
    <row r="153" spans="3:13" x14ac:dyDescent="0.25">
      <c r="C153" s="1"/>
      <c r="E153" s="2"/>
      <c r="G153" s="35">
        <f>OrganizedData!D152</f>
        <v>3500</v>
      </c>
    </row>
    <row r="154" spans="3:13" x14ac:dyDescent="0.25">
      <c r="C154" s="1"/>
      <c r="E154" s="2"/>
      <c r="G154" s="35">
        <f>OrganizedData!D153</f>
        <v>3600</v>
      </c>
    </row>
    <row r="155" spans="3:13" x14ac:dyDescent="0.25">
      <c r="C155" s="1"/>
      <c r="E155" s="2"/>
      <c r="G155" s="35">
        <f>OrganizedData!D154</f>
        <v>4300</v>
      </c>
    </row>
    <row r="156" spans="3:13" x14ac:dyDescent="0.25">
      <c r="C156" s="1"/>
      <c r="E156" s="2"/>
      <c r="G156" s="35">
        <f>OrganizedData!D155</f>
        <v>3500</v>
      </c>
    </row>
    <row r="157" spans="3:13" x14ac:dyDescent="0.25">
      <c r="C157" s="1"/>
      <c r="E157" s="2"/>
      <c r="G157" s="35">
        <f>OrganizedData!D156</f>
        <v>3600</v>
      </c>
    </row>
    <row r="158" spans="3:13" x14ac:dyDescent="0.25">
      <c r="C158" s="1"/>
      <c r="E158" s="2"/>
      <c r="G158" s="35">
        <f>OrganizedData!D157</f>
        <v>3600</v>
      </c>
    </row>
    <row r="159" spans="3:13" x14ac:dyDescent="0.25">
      <c r="C159" s="1"/>
      <c r="E159" s="2"/>
      <c r="G159" s="35">
        <f>OrganizedData!D158</f>
        <v>3700</v>
      </c>
    </row>
    <row r="160" spans="3:13" x14ac:dyDescent="0.25">
      <c r="C160" s="1"/>
      <c r="E160" s="2"/>
      <c r="G160" s="35">
        <f>OrganizedData!D159</f>
        <v>3500</v>
      </c>
    </row>
    <row r="161" spans="3:7" x14ac:dyDescent="0.25">
      <c r="C161" s="1"/>
      <c r="E161" s="2"/>
      <c r="G161" s="35">
        <f>OrganizedData!D160</f>
        <v>3500</v>
      </c>
    </row>
    <row r="162" spans="3:7" x14ac:dyDescent="0.25">
      <c r="C162" s="1"/>
      <c r="E162" s="2"/>
      <c r="G162" s="35">
        <f>OrganizedData!D161</f>
        <v>3700</v>
      </c>
    </row>
    <row r="163" spans="3:7" x14ac:dyDescent="0.25">
      <c r="C163" s="1"/>
      <c r="E163" s="2"/>
      <c r="G163" s="35">
        <f>OrganizedData!D162</f>
        <v>3500</v>
      </c>
    </row>
    <row r="164" spans="3:7" x14ac:dyDescent="0.25">
      <c r="C164" s="1"/>
      <c r="E164" s="2"/>
      <c r="G164" s="35">
        <f>OrganizedData!D163</f>
        <v>3500</v>
      </c>
    </row>
    <row r="165" spans="3:7" x14ac:dyDescent="0.25">
      <c r="C165" s="1"/>
      <c r="E165" s="2"/>
      <c r="G165" s="35">
        <f>OrganizedData!D164</f>
        <v>3500</v>
      </c>
    </row>
    <row r="166" spans="3:7" x14ac:dyDescent="0.25">
      <c r="C166" s="1"/>
      <c r="E166" s="2"/>
      <c r="G166" s="35">
        <f>OrganizedData!D165</f>
        <v>3500</v>
      </c>
    </row>
    <row r="167" spans="3:7" x14ac:dyDescent="0.25">
      <c r="C167" s="1"/>
      <c r="E167" s="2"/>
      <c r="G167" s="35">
        <f>OrganizedData!D166</f>
        <v>3500</v>
      </c>
    </row>
    <row r="168" spans="3:7" x14ac:dyDescent="0.25">
      <c r="C168" s="1"/>
      <c r="E168" s="2"/>
      <c r="G168" s="35">
        <f>OrganizedData!D167</f>
        <v>3500</v>
      </c>
    </row>
    <row r="169" spans="3:7" x14ac:dyDescent="0.25">
      <c r="C169" s="1"/>
      <c r="E169" s="2"/>
      <c r="G169" s="35">
        <f>OrganizedData!D168</f>
        <v>3500</v>
      </c>
    </row>
    <row r="170" spans="3:7" x14ac:dyDescent="0.25">
      <c r="C170" s="1"/>
      <c r="E170" s="2"/>
      <c r="G170" s="35">
        <f>OrganizedData!D169</f>
        <v>3600</v>
      </c>
    </row>
    <row r="171" spans="3:7" x14ac:dyDescent="0.25">
      <c r="C171" s="1"/>
      <c r="E171" s="2"/>
      <c r="G171" s="35">
        <f>OrganizedData!D170</f>
        <v>3500</v>
      </c>
    </row>
    <row r="172" spans="3:7" x14ac:dyDescent="0.25">
      <c r="C172" s="1"/>
      <c r="E172" s="2"/>
      <c r="G172" s="35">
        <f>OrganizedData!D171</f>
        <v>3800</v>
      </c>
    </row>
    <row r="173" spans="3:7" x14ac:dyDescent="0.25">
      <c r="C173" s="1"/>
      <c r="E173" s="2"/>
      <c r="G173" s="35">
        <f>OrganizedData!D172</f>
        <v>3500</v>
      </c>
    </row>
    <row r="174" spans="3:7" x14ac:dyDescent="0.25">
      <c r="C174" s="1"/>
      <c r="E174" s="2"/>
      <c r="G174" s="35">
        <f>OrganizedData!D173</f>
        <v>3500</v>
      </c>
    </row>
    <row r="175" spans="3:7" x14ac:dyDescent="0.25">
      <c r="C175" s="1"/>
      <c r="E175" s="2"/>
      <c r="G175" s="35">
        <f>OrganizedData!D174</f>
        <v>3500</v>
      </c>
    </row>
    <row r="176" spans="3:7" x14ac:dyDescent="0.25">
      <c r="C176" s="1"/>
      <c r="E176" s="2"/>
      <c r="G176" s="35">
        <f>OrganizedData!D175</f>
        <v>3500</v>
      </c>
    </row>
    <row r="177" spans="3:7" x14ac:dyDescent="0.25">
      <c r="C177" s="1"/>
      <c r="E177" s="2"/>
      <c r="G177" s="35">
        <f>OrganizedData!D176</f>
        <v>3500</v>
      </c>
    </row>
    <row r="178" spans="3:7" x14ac:dyDescent="0.25">
      <c r="C178" s="1"/>
      <c r="E178" s="2"/>
      <c r="G178" s="35">
        <f>OrganizedData!D177</f>
        <v>3500</v>
      </c>
    </row>
    <row r="179" spans="3:7" x14ac:dyDescent="0.25">
      <c r="C179" s="1"/>
      <c r="E179" s="2"/>
      <c r="G179" s="35">
        <f>OrganizedData!D178</f>
        <v>3600</v>
      </c>
    </row>
    <row r="180" spans="3:7" x14ac:dyDescent="0.25">
      <c r="C180" s="1"/>
      <c r="E180" s="2"/>
      <c r="G180" s="35">
        <f>OrganizedData!D179</f>
        <v>3500</v>
      </c>
    </row>
    <row r="181" spans="3:7" x14ac:dyDescent="0.25">
      <c r="C181" s="1"/>
      <c r="E181" s="2"/>
      <c r="G181" s="35">
        <f>OrganizedData!D180</f>
        <v>3500</v>
      </c>
    </row>
    <row r="182" spans="3:7" x14ac:dyDescent="0.25">
      <c r="C182" s="1"/>
      <c r="E182" s="2"/>
      <c r="G182" s="35">
        <f>OrganizedData!D181</f>
        <v>3600</v>
      </c>
    </row>
    <row r="183" spans="3:7" x14ac:dyDescent="0.25">
      <c r="C183" s="1"/>
      <c r="E183" s="2"/>
      <c r="G183" s="35">
        <f>OrganizedData!D182</f>
        <v>3500</v>
      </c>
    </row>
    <row r="184" spans="3:7" x14ac:dyDescent="0.25">
      <c r="C184" s="1"/>
      <c r="E184" s="2"/>
      <c r="G184" s="35">
        <f>OrganizedData!D183</f>
        <v>3500</v>
      </c>
    </row>
    <row r="185" spans="3:7" x14ac:dyDescent="0.25">
      <c r="C185" s="1"/>
      <c r="E185" s="2"/>
      <c r="G185" s="35">
        <f>OrganizedData!D184</f>
        <v>3500</v>
      </c>
    </row>
    <row r="186" spans="3:7" x14ac:dyDescent="0.25">
      <c r="C186" s="1"/>
      <c r="E186" s="2"/>
      <c r="G186" s="35">
        <f>OrganizedData!D185</f>
        <v>3500</v>
      </c>
    </row>
    <row r="187" spans="3:7" x14ac:dyDescent="0.25">
      <c r="C187" s="1"/>
      <c r="E187" s="2"/>
      <c r="G187" s="35">
        <f>OrganizedData!D186</f>
        <v>3500</v>
      </c>
    </row>
    <row r="188" spans="3:7" x14ac:dyDescent="0.25">
      <c r="C188" s="1"/>
      <c r="E188" s="2"/>
      <c r="G188" s="35">
        <f>OrganizedData!D187</f>
        <v>3500</v>
      </c>
    </row>
    <row r="189" spans="3:7" x14ac:dyDescent="0.25">
      <c r="C189" s="1"/>
      <c r="E189" s="2"/>
      <c r="G189" s="35">
        <f>OrganizedData!D188</f>
        <v>3500</v>
      </c>
    </row>
    <row r="190" spans="3:7" x14ac:dyDescent="0.25">
      <c r="C190" s="1"/>
      <c r="E190" s="2"/>
      <c r="G190" s="35">
        <f>OrganizedData!D189</f>
        <v>3600</v>
      </c>
    </row>
    <row r="191" spans="3:7" x14ac:dyDescent="0.25">
      <c r="C191" s="1"/>
      <c r="E191" s="2"/>
      <c r="G191" s="35">
        <f>OrganizedData!D190</f>
        <v>3500</v>
      </c>
    </row>
    <row r="192" spans="3:7" x14ac:dyDescent="0.25">
      <c r="C192" s="1"/>
      <c r="E192" s="2"/>
      <c r="G192" s="35">
        <f>OrganizedData!D191</f>
        <v>3700</v>
      </c>
    </row>
    <row r="193" spans="3:7" x14ac:dyDescent="0.25">
      <c r="C193" s="1"/>
      <c r="E193" s="2"/>
      <c r="G193" s="35">
        <f>OrganizedData!D192</f>
        <v>3500</v>
      </c>
    </row>
    <row r="194" spans="3:7" x14ac:dyDescent="0.25">
      <c r="C194" s="1"/>
      <c r="E194" s="2"/>
      <c r="G194" s="35">
        <f>OrganizedData!D193</f>
        <v>3500</v>
      </c>
    </row>
    <row r="195" spans="3:7" x14ac:dyDescent="0.25">
      <c r="C195" s="1"/>
      <c r="E195" s="2"/>
      <c r="G195" s="35">
        <f>OrganizedData!D194</f>
        <v>3500</v>
      </c>
    </row>
    <row r="196" spans="3:7" x14ac:dyDescent="0.25">
      <c r="C196" s="1"/>
      <c r="E196" s="2"/>
      <c r="G196" s="35">
        <f>OrganizedData!D195</f>
        <v>3500</v>
      </c>
    </row>
    <row r="197" spans="3:7" x14ac:dyDescent="0.25">
      <c r="C197" s="1"/>
      <c r="E197" s="2"/>
      <c r="G197" s="35">
        <f>OrganizedData!D196</f>
        <v>4400</v>
      </c>
    </row>
    <row r="198" spans="3:7" x14ac:dyDescent="0.25">
      <c r="C198" s="1"/>
      <c r="E198" s="2"/>
      <c r="G198" s="35">
        <f>OrganizedData!D197</f>
        <v>3500</v>
      </c>
    </row>
    <row r="199" spans="3:7" x14ac:dyDescent="0.25">
      <c r="C199" s="1"/>
      <c r="E199" s="2"/>
      <c r="G199" s="35">
        <f>OrganizedData!D198</f>
        <v>3500</v>
      </c>
    </row>
    <row r="200" spans="3:7" x14ac:dyDescent="0.25">
      <c r="C200" s="1"/>
      <c r="E200" s="2"/>
      <c r="G200" s="35">
        <f>OrganizedData!D199</f>
        <v>3500</v>
      </c>
    </row>
    <row r="201" spans="3:7" x14ac:dyDescent="0.25">
      <c r="C201" s="1"/>
      <c r="E201" s="2"/>
      <c r="G201" s="35">
        <f>OrganizedData!D200</f>
        <v>3500</v>
      </c>
    </row>
    <row r="202" spans="3:7" x14ac:dyDescent="0.25">
      <c r="C202" s="1"/>
      <c r="E202" s="2"/>
      <c r="G202" s="35">
        <f>OrganizedData!D201</f>
        <v>3800</v>
      </c>
    </row>
    <row r="203" spans="3:7" x14ac:dyDescent="0.25">
      <c r="C203" s="1"/>
      <c r="E203" s="2"/>
      <c r="G203" s="35">
        <f>OrganizedData!D202</f>
        <v>3500</v>
      </c>
    </row>
    <row r="204" spans="3:7" x14ac:dyDescent="0.25">
      <c r="C204" s="1"/>
      <c r="E204" s="2"/>
      <c r="G204" s="35">
        <f>OrganizedData!D203</f>
        <v>3500</v>
      </c>
    </row>
    <row r="205" spans="3:7" x14ac:dyDescent="0.25">
      <c r="C205" s="1"/>
      <c r="E205" s="2"/>
      <c r="G205" s="35">
        <f>OrganizedData!D204</f>
        <v>3500</v>
      </c>
    </row>
    <row r="206" spans="3:7" x14ac:dyDescent="0.25">
      <c r="C206" s="1"/>
      <c r="E206" s="2"/>
      <c r="G206" s="35">
        <f>OrganizedData!D205</f>
        <v>3500</v>
      </c>
    </row>
    <row r="207" spans="3:7" x14ac:dyDescent="0.25">
      <c r="C207" s="1"/>
      <c r="E207" s="2"/>
      <c r="G207" s="35">
        <f>OrganizedData!D206</f>
        <v>3500</v>
      </c>
    </row>
    <row r="208" spans="3:7" x14ac:dyDescent="0.25">
      <c r="C208" s="1"/>
      <c r="E208" s="2"/>
      <c r="G208" s="35">
        <f>OrganizedData!D207</f>
        <v>3500</v>
      </c>
    </row>
    <row r="209" spans="3:7" x14ac:dyDescent="0.25">
      <c r="C209" s="1"/>
      <c r="E209" s="2"/>
      <c r="G209" s="35">
        <f>OrganizedData!D208</f>
        <v>3700</v>
      </c>
    </row>
    <row r="210" spans="3:7" x14ac:dyDescent="0.25">
      <c r="C210" s="1"/>
      <c r="E210" s="2"/>
      <c r="G210" s="35">
        <f>OrganizedData!D209</f>
        <v>3600</v>
      </c>
    </row>
    <row r="211" spans="3:7" x14ac:dyDescent="0.25">
      <c r="C211" s="1"/>
      <c r="E211" s="2"/>
      <c r="G211" s="35">
        <f>OrganizedData!D210</f>
        <v>3500</v>
      </c>
    </row>
    <row r="212" spans="3:7" x14ac:dyDescent="0.25">
      <c r="C212" s="1"/>
      <c r="E212" s="2"/>
    </row>
    <row r="213" spans="3:7" x14ac:dyDescent="0.25">
      <c r="C213" s="1"/>
      <c r="E213" s="2"/>
    </row>
    <row r="214" spans="3:7" x14ac:dyDescent="0.25">
      <c r="C214" s="1"/>
      <c r="E214" s="2"/>
    </row>
    <row r="215" spans="3:7" x14ac:dyDescent="0.25">
      <c r="C215" s="1"/>
      <c r="E215" s="2"/>
    </row>
    <row r="216" spans="3:7" x14ac:dyDescent="0.25">
      <c r="C216" s="1"/>
      <c r="E216" s="2"/>
    </row>
    <row r="217" spans="3:7" x14ac:dyDescent="0.25">
      <c r="C217" s="1"/>
      <c r="E217" s="2"/>
    </row>
    <row r="218" spans="3:7" x14ac:dyDescent="0.25">
      <c r="C218" s="1"/>
      <c r="E218" s="2"/>
    </row>
    <row r="219" spans="3:7" x14ac:dyDescent="0.25">
      <c r="C219" s="1"/>
      <c r="E219" s="2"/>
    </row>
    <row r="220" spans="3:7" x14ac:dyDescent="0.25">
      <c r="C220" s="1"/>
      <c r="E220" s="2"/>
    </row>
    <row r="221" spans="3:7" x14ac:dyDescent="0.25">
      <c r="C221" s="1"/>
      <c r="E221" s="2"/>
    </row>
    <row r="222" spans="3:7" x14ac:dyDescent="0.25">
      <c r="C222" s="1"/>
      <c r="E222" s="2"/>
    </row>
    <row r="223" spans="3:7" x14ac:dyDescent="0.25">
      <c r="C223" s="1"/>
      <c r="E223" s="2"/>
    </row>
    <row r="224" spans="3:7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18"/>
  <sheetViews>
    <sheetView workbookViewId="0">
      <selection activeCell="E6" sqref="E6"/>
    </sheetView>
  </sheetViews>
  <sheetFormatPr defaultRowHeight="15" x14ac:dyDescent="0.25"/>
  <cols>
    <col min="1" max="16384" width="9.140625" style="40"/>
  </cols>
  <sheetData>
    <row r="1" spans="1:13" x14ac:dyDescent="0.25">
      <c r="A1" s="40" t="s">
        <v>32</v>
      </c>
      <c r="B1" s="40" t="s">
        <v>0</v>
      </c>
      <c r="C1" s="40" t="s">
        <v>33</v>
      </c>
      <c r="D1" s="40" t="s">
        <v>34</v>
      </c>
      <c r="E1" s="40" t="s">
        <v>35</v>
      </c>
      <c r="F1" s="40" t="s">
        <v>36</v>
      </c>
      <c r="G1" s="40" t="s">
        <v>37</v>
      </c>
      <c r="H1" s="40" t="s">
        <v>38</v>
      </c>
      <c r="I1" s="40" t="s">
        <v>1</v>
      </c>
      <c r="J1" s="40" t="s">
        <v>2</v>
      </c>
      <c r="K1" s="40" t="s">
        <v>39</v>
      </c>
      <c r="L1" s="40" t="s">
        <v>40</v>
      </c>
      <c r="M1" s="40" t="s">
        <v>41</v>
      </c>
    </row>
    <row r="2" spans="1:13" x14ac:dyDescent="0.25">
      <c r="A2" s="40" t="s">
        <v>1055</v>
      </c>
      <c r="B2" s="40" t="s">
        <v>6</v>
      </c>
      <c r="C2" s="40" t="s">
        <v>114</v>
      </c>
      <c r="E2" s="40" t="s">
        <v>115</v>
      </c>
      <c r="F2" s="40">
        <v>49.613726447610297</v>
      </c>
      <c r="G2" s="40">
        <v>51</v>
      </c>
      <c r="H2" s="40">
        <v>11200</v>
      </c>
      <c r="I2" s="40" t="s">
        <v>1056</v>
      </c>
      <c r="J2" s="40" t="s">
        <v>86</v>
      </c>
      <c r="K2" s="40" t="s">
        <v>430</v>
      </c>
    </row>
    <row r="3" spans="1:13" x14ac:dyDescent="0.25">
      <c r="A3" s="40" t="s">
        <v>1057</v>
      </c>
      <c r="B3" s="40" t="s">
        <v>7</v>
      </c>
      <c r="C3" s="40" t="s">
        <v>415</v>
      </c>
      <c r="E3" s="40" t="s">
        <v>416</v>
      </c>
      <c r="F3" s="40">
        <v>46.152001953125001</v>
      </c>
      <c r="G3" s="40">
        <v>50</v>
      </c>
      <c r="H3" s="40">
        <v>11200</v>
      </c>
      <c r="I3" s="40" t="s">
        <v>1058</v>
      </c>
      <c r="J3" s="40" t="s">
        <v>418</v>
      </c>
      <c r="K3" s="40" t="s">
        <v>87</v>
      </c>
    </row>
    <row r="4" spans="1:13" x14ac:dyDescent="0.25">
      <c r="A4" s="40" t="s">
        <v>1059</v>
      </c>
      <c r="B4" s="40" t="s">
        <v>4</v>
      </c>
      <c r="C4" s="40" t="s">
        <v>71</v>
      </c>
      <c r="E4" s="40" t="s">
        <v>411</v>
      </c>
      <c r="F4" s="40">
        <v>50.497957190688702</v>
      </c>
      <c r="G4" s="40">
        <v>49</v>
      </c>
      <c r="H4" s="40">
        <v>10900</v>
      </c>
      <c r="I4" s="40" t="s">
        <v>1060</v>
      </c>
      <c r="J4" s="40" t="s">
        <v>413</v>
      </c>
      <c r="K4" s="40" t="s">
        <v>88</v>
      </c>
    </row>
    <row r="5" spans="1:13" x14ac:dyDescent="0.25">
      <c r="A5" s="40" t="s">
        <v>1061</v>
      </c>
      <c r="B5" s="40" t="s">
        <v>6</v>
      </c>
      <c r="C5" s="40" t="s">
        <v>116</v>
      </c>
      <c r="E5" s="40" t="s">
        <v>117</v>
      </c>
      <c r="F5" s="40">
        <v>43.907549012381999</v>
      </c>
      <c r="G5" s="40">
        <v>53</v>
      </c>
      <c r="H5" s="40">
        <v>10700</v>
      </c>
      <c r="I5" s="40" t="s">
        <v>1060</v>
      </c>
      <c r="J5" s="40" t="s">
        <v>88</v>
      </c>
      <c r="K5" s="40" t="s">
        <v>413</v>
      </c>
    </row>
    <row r="6" spans="1:13" x14ac:dyDescent="0.25">
      <c r="A6" s="40" t="s">
        <v>1062</v>
      </c>
      <c r="B6" s="40" t="s">
        <v>3</v>
      </c>
      <c r="C6" s="40" t="s">
        <v>353</v>
      </c>
      <c r="E6" s="40" t="s">
        <v>1063</v>
      </c>
      <c r="F6" s="40">
        <v>45.202001953124999</v>
      </c>
      <c r="G6" s="40">
        <v>50</v>
      </c>
      <c r="H6" s="40">
        <v>10500</v>
      </c>
      <c r="I6" s="40" t="s">
        <v>1064</v>
      </c>
      <c r="J6" s="40" t="s">
        <v>1065</v>
      </c>
      <c r="K6" s="40" t="s">
        <v>354</v>
      </c>
    </row>
    <row r="7" spans="1:13" x14ac:dyDescent="0.25">
      <c r="A7" s="40" t="s">
        <v>1066</v>
      </c>
      <c r="B7" s="40" t="s">
        <v>5</v>
      </c>
      <c r="C7" s="40" t="s">
        <v>47</v>
      </c>
      <c r="E7" s="40" t="s">
        <v>420</v>
      </c>
      <c r="F7" s="40">
        <v>46.517305814302802</v>
      </c>
      <c r="G7" s="40">
        <v>52</v>
      </c>
      <c r="H7" s="40">
        <v>10300</v>
      </c>
      <c r="I7" s="40" t="s">
        <v>1067</v>
      </c>
      <c r="J7" s="40" t="s">
        <v>407</v>
      </c>
      <c r="K7" s="40" t="s">
        <v>414</v>
      </c>
    </row>
    <row r="8" spans="1:13" x14ac:dyDescent="0.25">
      <c r="A8" s="40" t="s">
        <v>1068</v>
      </c>
      <c r="B8" s="40" t="s">
        <v>4</v>
      </c>
      <c r="C8" s="40" t="s">
        <v>50</v>
      </c>
      <c r="E8" s="40" t="s">
        <v>408</v>
      </c>
      <c r="F8" s="40">
        <v>33.057777235243002</v>
      </c>
      <c r="G8" s="40">
        <v>45</v>
      </c>
      <c r="H8" s="40">
        <v>9900</v>
      </c>
      <c r="I8" s="40" t="s">
        <v>1069</v>
      </c>
      <c r="J8" s="40" t="s">
        <v>410</v>
      </c>
      <c r="K8" s="40" t="s">
        <v>401</v>
      </c>
    </row>
    <row r="9" spans="1:13" x14ac:dyDescent="0.25">
      <c r="A9" s="40" t="s">
        <v>1070</v>
      </c>
      <c r="B9" s="40" t="s">
        <v>5</v>
      </c>
      <c r="C9" s="40" t="s">
        <v>423</v>
      </c>
      <c r="E9" s="40" t="s">
        <v>424</v>
      </c>
      <c r="F9" s="40">
        <v>40.4148936170212</v>
      </c>
      <c r="G9" s="40">
        <v>47</v>
      </c>
      <c r="H9" s="40">
        <v>9600</v>
      </c>
      <c r="I9" s="40" t="s">
        <v>1071</v>
      </c>
      <c r="J9" s="40" t="s">
        <v>426</v>
      </c>
      <c r="K9" s="40" t="s">
        <v>445</v>
      </c>
    </row>
    <row r="10" spans="1:13" x14ac:dyDescent="0.25">
      <c r="A10" s="40" t="s">
        <v>1072</v>
      </c>
      <c r="B10" s="40" t="s">
        <v>5</v>
      </c>
      <c r="C10" s="40" t="s">
        <v>1073</v>
      </c>
      <c r="E10" s="40" t="s">
        <v>1074</v>
      </c>
      <c r="F10" s="40">
        <v>41.591667175292898</v>
      </c>
      <c r="G10" s="40">
        <v>48</v>
      </c>
      <c r="H10" s="40">
        <v>9500</v>
      </c>
      <c r="I10" s="40" t="s">
        <v>1075</v>
      </c>
      <c r="J10" s="40" t="s">
        <v>1076</v>
      </c>
      <c r="K10" s="40" t="s">
        <v>436</v>
      </c>
      <c r="L10" s="40" t="s">
        <v>53</v>
      </c>
      <c r="M10" s="40" t="s">
        <v>119</v>
      </c>
    </row>
    <row r="11" spans="1:13" x14ac:dyDescent="0.25">
      <c r="A11" s="40" t="s">
        <v>1077</v>
      </c>
      <c r="B11" s="40" t="s">
        <v>3</v>
      </c>
      <c r="C11" s="40" t="s">
        <v>431</v>
      </c>
      <c r="E11" s="40" t="s">
        <v>432</v>
      </c>
      <c r="F11" s="40">
        <v>40.784313725490101</v>
      </c>
      <c r="G11" s="40">
        <v>51</v>
      </c>
      <c r="H11" s="40">
        <v>9500</v>
      </c>
      <c r="I11" s="40" t="s">
        <v>1067</v>
      </c>
      <c r="J11" s="40" t="s">
        <v>407</v>
      </c>
      <c r="K11" s="40" t="s">
        <v>414</v>
      </c>
    </row>
    <row r="12" spans="1:13" x14ac:dyDescent="0.25">
      <c r="A12" s="40" t="s">
        <v>1078</v>
      </c>
      <c r="B12" s="40" t="s">
        <v>6</v>
      </c>
      <c r="C12" s="40" t="s">
        <v>437</v>
      </c>
      <c r="E12" s="40" t="s">
        <v>438</v>
      </c>
      <c r="F12" s="40">
        <v>38.295832316080698</v>
      </c>
      <c r="G12" s="40">
        <v>48</v>
      </c>
      <c r="H12" s="40">
        <v>9100</v>
      </c>
      <c r="I12" s="40" t="s">
        <v>1079</v>
      </c>
      <c r="J12" s="40" t="s">
        <v>404</v>
      </c>
      <c r="K12" s="40" t="s">
        <v>419</v>
      </c>
    </row>
    <row r="13" spans="1:13" x14ac:dyDescent="0.25">
      <c r="A13" s="40" t="s">
        <v>1080</v>
      </c>
      <c r="B13" s="40" t="s">
        <v>5</v>
      </c>
      <c r="C13" s="40" t="s">
        <v>89</v>
      </c>
      <c r="E13" s="40" t="s">
        <v>356</v>
      </c>
      <c r="F13" s="40">
        <v>36.086667209201302</v>
      </c>
      <c r="G13" s="40">
        <v>45</v>
      </c>
      <c r="H13" s="40">
        <v>8700</v>
      </c>
      <c r="I13" s="40" t="s">
        <v>1064</v>
      </c>
      <c r="J13" s="40" t="s">
        <v>354</v>
      </c>
      <c r="K13" s="40" t="s">
        <v>1065</v>
      </c>
    </row>
    <row r="14" spans="1:13" x14ac:dyDescent="0.25">
      <c r="A14" s="40" t="s">
        <v>1081</v>
      </c>
      <c r="B14" s="40" t="s">
        <v>6</v>
      </c>
      <c r="C14" s="40" t="s">
        <v>442</v>
      </c>
      <c r="E14" s="40" t="s">
        <v>443</v>
      </c>
      <c r="F14" s="40">
        <v>36.7538452148437</v>
      </c>
      <c r="G14" s="40">
        <v>52</v>
      </c>
      <c r="H14" s="40">
        <v>8700</v>
      </c>
      <c r="I14" s="40" t="s">
        <v>1071</v>
      </c>
      <c r="J14" s="40" t="s">
        <v>445</v>
      </c>
      <c r="K14" s="40" t="s">
        <v>426</v>
      </c>
    </row>
    <row r="15" spans="1:13" x14ac:dyDescent="0.25">
      <c r="A15" s="40" t="s">
        <v>1082</v>
      </c>
      <c r="B15" s="40" t="s">
        <v>6</v>
      </c>
      <c r="C15" s="40" t="s">
        <v>447</v>
      </c>
      <c r="E15" s="40" t="s">
        <v>448</v>
      </c>
      <c r="F15" s="40">
        <v>36.974999060997597</v>
      </c>
      <c r="G15" s="40">
        <v>52</v>
      </c>
      <c r="H15" s="40">
        <v>8400</v>
      </c>
      <c r="I15" s="40" t="s">
        <v>1067</v>
      </c>
      <c r="J15" s="40" t="s">
        <v>414</v>
      </c>
      <c r="K15" s="40" t="s">
        <v>407</v>
      </c>
    </row>
    <row r="16" spans="1:13" x14ac:dyDescent="0.25">
      <c r="A16" s="40" t="s">
        <v>1083</v>
      </c>
      <c r="B16" s="40" t="s">
        <v>3</v>
      </c>
      <c r="C16" s="40" t="s">
        <v>433</v>
      </c>
      <c r="E16" s="40" t="s">
        <v>434</v>
      </c>
      <c r="F16" s="40">
        <v>36.5867919921875</v>
      </c>
      <c r="G16" s="40">
        <v>53</v>
      </c>
      <c r="H16" s="40">
        <v>8300</v>
      </c>
      <c r="I16" s="40" t="s">
        <v>1075</v>
      </c>
      <c r="J16" s="40" t="s">
        <v>436</v>
      </c>
      <c r="K16" s="40" t="s">
        <v>1076</v>
      </c>
    </row>
    <row r="17" spans="1:13" x14ac:dyDescent="0.25">
      <c r="A17" s="40" t="s">
        <v>1084</v>
      </c>
      <c r="B17" s="40" t="s">
        <v>5</v>
      </c>
      <c r="C17" s="40" t="s">
        <v>450</v>
      </c>
      <c r="E17" s="40" t="s">
        <v>71</v>
      </c>
      <c r="F17" s="40">
        <v>35.309434422906797</v>
      </c>
      <c r="G17" s="40">
        <v>53</v>
      </c>
      <c r="H17" s="40">
        <v>8100</v>
      </c>
      <c r="I17" s="40" t="s">
        <v>1069</v>
      </c>
      <c r="J17" s="40" t="s">
        <v>401</v>
      </c>
      <c r="K17" s="40" t="s">
        <v>410</v>
      </c>
    </row>
    <row r="18" spans="1:13" x14ac:dyDescent="0.25">
      <c r="A18" s="40" t="s">
        <v>1085</v>
      </c>
      <c r="B18" s="40" t="s">
        <v>3</v>
      </c>
      <c r="C18" s="40" t="s">
        <v>459</v>
      </c>
      <c r="E18" s="40" t="s">
        <v>460</v>
      </c>
      <c r="F18" s="40">
        <v>33.686667209201303</v>
      </c>
      <c r="G18" s="40">
        <v>45</v>
      </c>
      <c r="H18" s="40">
        <v>8100</v>
      </c>
      <c r="I18" s="40" t="s">
        <v>1079</v>
      </c>
      <c r="J18" s="40" t="s">
        <v>404</v>
      </c>
      <c r="K18" s="40" t="s">
        <v>419</v>
      </c>
    </row>
    <row r="19" spans="1:13" x14ac:dyDescent="0.25">
      <c r="A19" s="40" t="s">
        <v>1086</v>
      </c>
      <c r="B19" s="40" t="s">
        <v>7</v>
      </c>
      <c r="C19" s="40" t="s">
        <v>1087</v>
      </c>
      <c r="E19" s="40" t="s">
        <v>111</v>
      </c>
      <c r="F19" s="40">
        <v>32.6489361702127</v>
      </c>
      <c r="G19" s="40">
        <v>47</v>
      </c>
      <c r="H19" s="40">
        <v>8000</v>
      </c>
      <c r="I19" s="40" t="s">
        <v>1075</v>
      </c>
      <c r="J19" s="40" t="s">
        <v>1076</v>
      </c>
      <c r="K19" s="40" t="s">
        <v>436</v>
      </c>
      <c r="L19" s="40" t="s">
        <v>53</v>
      </c>
      <c r="M19" s="40" t="s">
        <v>67</v>
      </c>
    </row>
    <row r="20" spans="1:13" x14ac:dyDescent="0.25">
      <c r="A20" s="40" t="s">
        <v>1088</v>
      </c>
      <c r="B20" s="40" t="s">
        <v>4</v>
      </c>
      <c r="C20" s="40" t="s">
        <v>457</v>
      </c>
      <c r="E20" s="40" t="s">
        <v>398</v>
      </c>
      <c r="F20" s="40">
        <v>36.095917370854501</v>
      </c>
      <c r="G20" s="40">
        <v>49</v>
      </c>
      <c r="H20" s="40">
        <v>8000</v>
      </c>
      <c r="I20" s="40" t="s">
        <v>1067</v>
      </c>
      <c r="J20" s="40" t="s">
        <v>407</v>
      </c>
      <c r="K20" s="40" t="s">
        <v>414</v>
      </c>
    </row>
    <row r="21" spans="1:13" x14ac:dyDescent="0.25">
      <c r="A21" s="40" t="s">
        <v>1089</v>
      </c>
      <c r="B21" s="40" t="s">
        <v>3</v>
      </c>
      <c r="C21" s="40" t="s">
        <v>455</v>
      </c>
      <c r="E21" s="40" t="s">
        <v>456</v>
      </c>
      <c r="F21" s="40">
        <v>32.707895379317399</v>
      </c>
      <c r="G21" s="40">
        <v>38</v>
      </c>
      <c r="H21" s="40">
        <v>7900</v>
      </c>
      <c r="I21" s="40" t="s">
        <v>1060</v>
      </c>
      <c r="J21" s="40" t="s">
        <v>413</v>
      </c>
      <c r="K21" s="40" t="s">
        <v>88</v>
      </c>
    </row>
    <row r="22" spans="1:13" x14ac:dyDescent="0.25">
      <c r="A22" s="40" t="s">
        <v>1090</v>
      </c>
      <c r="B22" s="40" t="s">
        <v>4</v>
      </c>
      <c r="C22" s="40" t="s">
        <v>89</v>
      </c>
      <c r="E22" s="40" t="s">
        <v>458</v>
      </c>
      <c r="F22" s="40">
        <v>35.799999999999997</v>
      </c>
      <c r="G22" s="40">
        <v>50</v>
      </c>
      <c r="H22" s="40">
        <v>7800</v>
      </c>
      <c r="I22" s="40" t="s">
        <v>1056</v>
      </c>
      <c r="J22" s="40" t="s">
        <v>430</v>
      </c>
      <c r="K22" s="40" t="s">
        <v>86</v>
      </c>
    </row>
    <row r="23" spans="1:13" x14ac:dyDescent="0.25">
      <c r="A23" s="40" t="s">
        <v>1091</v>
      </c>
      <c r="B23" s="40" t="s">
        <v>3</v>
      </c>
      <c r="C23" s="40" t="s">
        <v>359</v>
      </c>
      <c r="E23" s="40" t="s">
        <v>360</v>
      </c>
      <c r="F23" s="40">
        <v>34.192307692307601</v>
      </c>
      <c r="G23" s="40">
        <v>52</v>
      </c>
      <c r="H23" s="40">
        <v>7700</v>
      </c>
      <c r="I23" s="40" t="s">
        <v>1064</v>
      </c>
      <c r="J23" s="40" t="s">
        <v>354</v>
      </c>
      <c r="K23" s="40" t="s">
        <v>1065</v>
      </c>
    </row>
    <row r="24" spans="1:13" x14ac:dyDescent="0.25">
      <c r="A24" s="40" t="s">
        <v>1092</v>
      </c>
      <c r="B24" s="40" t="s">
        <v>5</v>
      </c>
      <c r="C24" s="40" t="s">
        <v>61</v>
      </c>
      <c r="E24" s="40" t="s">
        <v>120</v>
      </c>
      <c r="F24" s="40">
        <v>31.128302808077802</v>
      </c>
      <c r="G24" s="40">
        <v>53</v>
      </c>
      <c r="H24" s="40">
        <v>7600</v>
      </c>
      <c r="I24" s="40" t="s">
        <v>1060</v>
      </c>
      <c r="J24" s="40" t="s">
        <v>88</v>
      </c>
      <c r="K24" s="40" t="s">
        <v>413</v>
      </c>
    </row>
    <row r="25" spans="1:13" x14ac:dyDescent="0.25">
      <c r="A25" s="40" t="s">
        <v>1093</v>
      </c>
      <c r="B25" s="40" t="s">
        <v>7</v>
      </c>
      <c r="C25" s="40" t="s">
        <v>357</v>
      </c>
      <c r="E25" s="40" t="s">
        <v>1094</v>
      </c>
      <c r="F25" s="40">
        <v>31.991666158040299</v>
      </c>
      <c r="G25" s="40">
        <v>48</v>
      </c>
      <c r="H25" s="40">
        <v>7500</v>
      </c>
      <c r="I25" s="40" t="s">
        <v>1064</v>
      </c>
      <c r="J25" s="40" t="s">
        <v>1065</v>
      </c>
      <c r="K25" s="40" t="s">
        <v>354</v>
      </c>
    </row>
    <row r="26" spans="1:13" x14ac:dyDescent="0.25">
      <c r="A26" s="40" t="s">
        <v>1095</v>
      </c>
      <c r="B26" s="40" t="s">
        <v>4</v>
      </c>
      <c r="C26" s="40" t="s">
        <v>466</v>
      </c>
      <c r="E26" s="40" t="s">
        <v>467</v>
      </c>
      <c r="F26" s="40">
        <v>31.344679812167499</v>
      </c>
      <c r="G26" s="40">
        <v>47</v>
      </c>
      <c r="H26" s="40">
        <v>7500</v>
      </c>
      <c r="I26" s="40" t="s">
        <v>1071</v>
      </c>
      <c r="J26" s="40" t="s">
        <v>426</v>
      </c>
      <c r="K26" s="40" t="s">
        <v>445</v>
      </c>
    </row>
    <row r="27" spans="1:13" x14ac:dyDescent="0.25">
      <c r="A27" s="40" t="s">
        <v>1096</v>
      </c>
      <c r="B27" s="40" t="s">
        <v>3</v>
      </c>
      <c r="C27" s="40" t="s">
        <v>461</v>
      </c>
      <c r="E27" s="40" t="s">
        <v>462</v>
      </c>
      <c r="F27" s="40">
        <v>33.7558139534883</v>
      </c>
      <c r="G27" s="40">
        <v>43</v>
      </c>
      <c r="H27" s="40">
        <v>7400</v>
      </c>
      <c r="I27" s="40" t="s">
        <v>1067</v>
      </c>
      <c r="J27" s="40" t="s">
        <v>414</v>
      </c>
      <c r="K27" s="40" t="s">
        <v>407</v>
      </c>
    </row>
    <row r="28" spans="1:13" x14ac:dyDescent="0.25">
      <c r="A28" s="40" t="s">
        <v>1097</v>
      </c>
      <c r="B28" s="40" t="s">
        <v>6</v>
      </c>
      <c r="C28" s="40" t="s">
        <v>468</v>
      </c>
      <c r="E28" s="40" t="s">
        <v>109</v>
      </c>
      <c r="F28" s="40">
        <v>32.4375</v>
      </c>
      <c r="G28" s="40">
        <v>48</v>
      </c>
      <c r="H28" s="40">
        <v>7200</v>
      </c>
      <c r="I28" s="40" t="s">
        <v>1079</v>
      </c>
      <c r="J28" s="40" t="s">
        <v>419</v>
      </c>
      <c r="K28" s="40" t="s">
        <v>404</v>
      </c>
    </row>
    <row r="29" spans="1:13" x14ac:dyDescent="0.25">
      <c r="A29" s="40" t="s">
        <v>1098</v>
      </c>
      <c r="B29" s="40" t="s">
        <v>7</v>
      </c>
      <c r="C29" s="40" t="s">
        <v>469</v>
      </c>
      <c r="E29" s="40" t="s">
        <v>470</v>
      </c>
      <c r="F29" s="40">
        <v>26.540624618530199</v>
      </c>
      <c r="G29" s="40">
        <v>32</v>
      </c>
      <c r="H29" s="40">
        <v>7100</v>
      </c>
      <c r="I29" s="40" t="s">
        <v>1079</v>
      </c>
      <c r="J29" s="40" t="s">
        <v>404</v>
      </c>
      <c r="K29" s="40" t="s">
        <v>419</v>
      </c>
      <c r="L29" s="40" t="s">
        <v>53</v>
      </c>
      <c r="M29" s="40" t="s">
        <v>63</v>
      </c>
    </row>
    <row r="30" spans="1:13" x14ac:dyDescent="0.25">
      <c r="A30" s="40" t="s">
        <v>1099</v>
      </c>
      <c r="B30" s="40" t="s">
        <v>6</v>
      </c>
      <c r="C30" s="40" t="s">
        <v>464</v>
      </c>
      <c r="E30" s="40" t="s">
        <v>465</v>
      </c>
      <c r="F30" s="40">
        <v>33.162501017252602</v>
      </c>
      <c r="G30" s="40">
        <v>48</v>
      </c>
      <c r="H30" s="40">
        <v>7000</v>
      </c>
      <c r="I30" s="40" t="s">
        <v>1056</v>
      </c>
      <c r="J30" s="40" t="s">
        <v>430</v>
      </c>
      <c r="K30" s="40" t="s">
        <v>86</v>
      </c>
    </row>
    <row r="31" spans="1:13" x14ac:dyDescent="0.25">
      <c r="A31" s="40" t="s">
        <v>1100</v>
      </c>
      <c r="B31" s="40" t="s">
        <v>6</v>
      </c>
      <c r="C31" s="40" t="s">
        <v>1101</v>
      </c>
      <c r="E31" s="40" t="s">
        <v>1102</v>
      </c>
      <c r="F31" s="40">
        <v>29.755770169771601</v>
      </c>
      <c r="G31" s="40">
        <v>52</v>
      </c>
      <c r="H31" s="40">
        <v>7000</v>
      </c>
      <c r="I31" s="40" t="s">
        <v>1064</v>
      </c>
      <c r="J31" s="40" t="s">
        <v>1065</v>
      </c>
      <c r="K31" s="40" t="s">
        <v>354</v>
      </c>
    </row>
    <row r="32" spans="1:13" x14ac:dyDescent="0.25">
      <c r="A32" s="40" t="s">
        <v>1103</v>
      </c>
      <c r="B32" s="40" t="s">
        <v>4</v>
      </c>
      <c r="C32" s="40" t="s">
        <v>1104</v>
      </c>
      <c r="E32" s="40" t="s">
        <v>358</v>
      </c>
      <c r="F32" s="40">
        <v>26.7919995117187</v>
      </c>
      <c r="G32" s="40">
        <v>50</v>
      </c>
      <c r="H32" s="40">
        <v>6900</v>
      </c>
      <c r="I32" s="40" t="s">
        <v>1064</v>
      </c>
      <c r="J32" s="40" t="s">
        <v>1065</v>
      </c>
      <c r="K32" s="40" t="s">
        <v>354</v>
      </c>
      <c r="L32" s="40" t="s">
        <v>53</v>
      </c>
      <c r="M32" s="40" t="s">
        <v>530</v>
      </c>
    </row>
    <row r="33" spans="1:13" x14ac:dyDescent="0.25">
      <c r="A33" s="40" t="s">
        <v>1105</v>
      </c>
      <c r="B33" s="40" t="s">
        <v>5</v>
      </c>
      <c r="C33" s="40" t="s">
        <v>472</v>
      </c>
      <c r="E33" s="40" t="s">
        <v>473</v>
      </c>
      <c r="F33" s="40">
        <v>26.850000554865002</v>
      </c>
      <c r="G33" s="40">
        <v>44</v>
      </c>
      <c r="H33" s="40">
        <v>6900</v>
      </c>
      <c r="I33" s="40" t="s">
        <v>1069</v>
      </c>
      <c r="J33" s="40" t="s">
        <v>410</v>
      </c>
      <c r="K33" s="40" t="s">
        <v>401</v>
      </c>
      <c r="L33" s="40" t="s">
        <v>48</v>
      </c>
      <c r="M33" s="40" t="s">
        <v>474</v>
      </c>
    </row>
    <row r="34" spans="1:13" x14ac:dyDescent="0.25">
      <c r="A34" s="40" t="s">
        <v>1106</v>
      </c>
      <c r="B34" s="40" t="s">
        <v>7</v>
      </c>
      <c r="C34" s="40" t="s">
        <v>477</v>
      </c>
      <c r="E34" s="40" t="s">
        <v>478</v>
      </c>
      <c r="F34" s="40">
        <v>28.734614445612898</v>
      </c>
      <c r="G34" s="40">
        <v>52</v>
      </c>
      <c r="H34" s="40">
        <v>6800</v>
      </c>
      <c r="I34" s="40" t="s">
        <v>1075</v>
      </c>
      <c r="J34" s="40" t="s">
        <v>436</v>
      </c>
      <c r="K34" s="40" t="s">
        <v>1076</v>
      </c>
    </row>
    <row r="35" spans="1:13" x14ac:dyDescent="0.25">
      <c r="A35" s="40" t="s">
        <v>1107</v>
      </c>
      <c r="B35" s="40" t="s">
        <v>4</v>
      </c>
      <c r="C35" s="40" t="s">
        <v>475</v>
      </c>
      <c r="E35" s="40" t="s">
        <v>476</v>
      </c>
      <c r="F35" s="40">
        <v>32.652173913043399</v>
      </c>
      <c r="G35" s="40">
        <v>46</v>
      </c>
      <c r="H35" s="40">
        <v>6800</v>
      </c>
      <c r="I35" s="40" t="s">
        <v>1069</v>
      </c>
      <c r="J35" s="40" t="s">
        <v>401</v>
      </c>
      <c r="K35" s="40" t="s">
        <v>410</v>
      </c>
    </row>
    <row r="36" spans="1:13" x14ac:dyDescent="0.25">
      <c r="A36" s="40" t="s">
        <v>1108</v>
      </c>
      <c r="B36" s="40" t="s">
        <v>7</v>
      </c>
      <c r="C36" s="40" t="s">
        <v>471</v>
      </c>
      <c r="E36" s="40" t="s">
        <v>55</v>
      </c>
      <c r="F36" s="40">
        <v>29.966667624080799</v>
      </c>
      <c r="G36" s="40">
        <v>51</v>
      </c>
      <c r="H36" s="40">
        <v>6800</v>
      </c>
      <c r="I36" s="40" t="s">
        <v>1067</v>
      </c>
      <c r="J36" s="40" t="s">
        <v>407</v>
      </c>
      <c r="K36" s="40" t="s">
        <v>414</v>
      </c>
    </row>
    <row r="37" spans="1:13" x14ac:dyDescent="0.25">
      <c r="A37" s="40" t="s">
        <v>1109</v>
      </c>
      <c r="B37" s="40" t="s">
        <v>5</v>
      </c>
      <c r="C37" s="40" t="s">
        <v>1110</v>
      </c>
      <c r="E37" s="40" t="s">
        <v>1111</v>
      </c>
      <c r="F37" s="40">
        <v>28.359614445612898</v>
      </c>
      <c r="G37" s="40">
        <v>52</v>
      </c>
      <c r="H37" s="40">
        <v>6700</v>
      </c>
      <c r="I37" s="40" t="s">
        <v>1064</v>
      </c>
      <c r="J37" s="40" t="s">
        <v>1065</v>
      </c>
      <c r="K37" s="40" t="s">
        <v>354</v>
      </c>
    </row>
    <row r="38" spans="1:13" x14ac:dyDescent="0.25">
      <c r="A38" s="40" t="s">
        <v>1112</v>
      </c>
      <c r="B38" s="40" t="s">
        <v>5</v>
      </c>
      <c r="C38" s="40" t="s">
        <v>479</v>
      </c>
      <c r="E38" s="40" t="s">
        <v>480</v>
      </c>
      <c r="F38" s="40">
        <v>27.631251017252598</v>
      </c>
      <c r="G38" s="40">
        <v>48</v>
      </c>
      <c r="H38" s="40">
        <v>6700</v>
      </c>
      <c r="I38" s="40" t="s">
        <v>1069</v>
      </c>
      <c r="J38" s="40" t="s">
        <v>410</v>
      </c>
      <c r="K38" s="40" t="s">
        <v>401</v>
      </c>
    </row>
    <row r="39" spans="1:13" x14ac:dyDescent="0.25">
      <c r="A39" s="40" t="s">
        <v>1113</v>
      </c>
      <c r="B39" s="40" t="s">
        <v>3</v>
      </c>
      <c r="C39" s="40" t="s">
        <v>121</v>
      </c>
      <c r="E39" s="40" t="s">
        <v>122</v>
      </c>
      <c r="F39" s="40">
        <v>26.844679812167499</v>
      </c>
      <c r="G39" s="40">
        <v>47</v>
      </c>
      <c r="H39" s="40">
        <v>6500</v>
      </c>
      <c r="I39" s="40" t="s">
        <v>1060</v>
      </c>
      <c r="J39" s="40" t="s">
        <v>88</v>
      </c>
      <c r="K39" s="40" t="s">
        <v>413</v>
      </c>
    </row>
    <row r="40" spans="1:13" x14ac:dyDescent="0.25">
      <c r="A40" s="40" t="s">
        <v>1114</v>
      </c>
      <c r="B40" s="40" t="s">
        <v>3</v>
      </c>
      <c r="C40" s="40" t="s">
        <v>483</v>
      </c>
      <c r="E40" s="40" t="s">
        <v>484</v>
      </c>
      <c r="F40" s="40">
        <v>29.1867929134728</v>
      </c>
      <c r="G40" s="40">
        <v>53</v>
      </c>
      <c r="H40" s="40">
        <v>6500</v>
      </c>
      <c r="I40" s="40" t="s">
        <v>1056</v>
      </c>
      <c r="J40" s="40" t="s">
        <v>430</v>
      </c>
      <c r="K40" s="40" t="s">
        <v>86</v>
      </c>
    </row>
    <row r="41" spans="1:13" x14ac:dyDescent="0.25">
      <c r="A41" s="40" t="s">
        <v>1115</v>
      </c>
      <c r="B41" s="40" t="s">
        <v>3</v>
      </c>
      <c r="C41" s="40" t="s">
        <v>485</v>
      </c>
      <c r="E41" s="40" t="s">
        <v>486</v>
      </c>
      <c r="F41" s="40">
        <v>27.899998982747299</v>
      </c>
      <c r="G41" s="40">
        <v>12</v>
      </c>
      <c r="H41" s="40">
        <v>6400</v>
      </c>
      <c r="I41" s="40" t="s">
        <v>1079</v>
      </c>
      <c r="J41" s="40" t="s">
        <v>419</v>
      </c>
      <c r="K41" s="40" t="s">
        <v>404</v>
      </c>
      <c r="L41" s="40" t="s">
        <v>48</v>
      </c>
      <c r="M41" s="40" t="s">
        <v>62</v>
      </c>
    </row>
    <row r="42" spans="1:13" x14ac:dyDescent="0.25">
      <c r="A42" s="40" t="s">
        <v>1116</v>
      </c>
      <c r="B42" s="40" t="s">
        <v>6</v>
      </c>
      <c r="C42" s="40" t="s">
        <v>362</v>
      </c>
      <c r="E42" s="40" t="s">
        <v>363</v>
      </c>
      <c r="F42" s="40">
        <v>30.592155905330799</v>
      </c>
      <c r="G42" s="40">
        <v>51</v>
      </c>
      <c r="H42" s="40">
        <v>6400</v>
      </c>
      <c r="I42" s="40" t="s">
        <v>1064</v>
      </c>
      <c r="J42" s="40" t="s">
        <v>354</v>
      </c>
      <c r="K42" s="40" t="s">
        <v>1065</v>
      </c>
    </row>
    <row r="43" spans="1:13" x14ac:dyDescent="0.25">
      <c r="A43" s="40" t="s">
        <v>1117</v>
      </c>
      <c r="B43" s="40" t="s">
        <v>4</v>
      </c>
      <c r="C43" s="40" t="s">
        <v>496</v>
      </c>
      <c r="E43" s="40" t="s">
        <v>497</v>
      </c>
      <c r="F43" s="40">
        <v>26.7893611826795</v>
      </c>
      <c r="G43" s="40">
        <v>47</v>
      </c>
      <c r="H43" s="40">
        <v>6300</v>
      </c>
      <c r="I43" s="40" t="s">
        <v>1067</v>
      </c>
      <c r="J43" s="40" t="s">
        <v>414</v>
      </c>
      <c r="K43" s="40" t="s">
        <v>407</v>
      </c>
      <c r="L43" s="40" t="s">
        <v>53</v>
      </c>
      <c r="M43" s="40" t="s">
        <v>60</v>
      </c>
    </row>
    <row r="44" spans="1:13" x14ac:dyDescent="0.25">
      <c r="A44" s="40" t="s">
        <v>1118</v>
      </c>
      <c r="B44" s="40" t="s">
        <v>3</v>
      </c>
      <c r="C44" s="40" t="s">
        <v>58</v>
      </c>
      <c r="E44" s="40" t="s">
        <v>495</v>
      </c>
      <c r="F44" s="40">
        <v>28.724443901909702</v>
      </c>
      <c r="G44" s="40">
        <v>45</v>
      </c>
      <c r="H44" s="40">
        <v>6200</v>
      </c>
      <c r="I44" s="40" t="s">
        <v>1069</v>
      </c>
      <c r="J44" s="40" t="s">
        <v>401</v>
      </c>
      <c r="K44" s="40" t="s">
        <v>410</v>
      </c>
    </row>
    <row r="45" spans="1:13" x14ac:dyDescent="0.25">
      <c r="A45" s="40" t="s">
        <v>1119</v>
      </c>
      <c r="B45" s="40" t="s">
        <v>6</v>
      </c>
      <c r="C45" s="40" t="s">
        <v>489</v>
      </c>
      <c r="E45" s="40" t="s">
        <v>448</v>
      </c>
      <c r="F45" s="40">
        <v>27.174360226362101</v>
      </c>
      <c r="G45" s="40">
        <v>39</v>
      </c>
      <c r="H45" s="40">
        <v>6200</v>
      </c>
      <c r="I45" s="40" t="s">
        <v>1071</v>
      </c>
      <c r="J45" s="40" t="s">
        <v>426</v>
      </c>
      <c r="K45" s="40" t="s">
        <v>445</v>
      </c>
      <c r="L45" s="40" t="s">
        <v>48</v>
      </c>
      <c r="M45" s="40" t="s">
        <v>490</v>
      </c>
    </row>
    <row r="46" spans="1:13" x14ac:dyDescent="0.25">
      <c r="A46" s="40" t="s">
        <v>1120</v>
      </c>
      <c r="B46" s="40" t="s">
        <v>7</v>
      </c>
      <c r="C46" s="40" t="s">
        <v>123</v>
      </c>
      <c r="E46" s="40" t="s">
        <v>52</v>
      </c>
      <c r="F46" s="40">
        <v>26.274545010653402</v>
      </c>
      <c r="G46" s="40">
        <v>55</v>
      </c>
      <c r="H46" s="40">
        <v>6200</v>
      </c>
      <c r="I46" s="40" t="s">
        <v>1058</v>
      </c>
      <c r="J46" s="40" t="s">
        <v>87</v>
      </c>
      <c r="K46" s="40" t="s">
        <v>418</v>
      </c>
    </row>
    <row r="47" spans="1:13" x14ac:dyDescent="0.25">
      <c r="A47" s="40" t="s">
        <v>1121</v>
      </c>
      <c r="B47" s="40" t="s">
        <v>4</v>
      </c>
      <c r="C47" s="40" t="s">
        <v>492</v>
      </c>
      <c r="E47" s="40" t="s">
        <v>493</v>
      </c>
      <c r="F47" s="40">
        <v>22.787234042553099</v>
      </c>
      <c r="G47" s="40">
        <v>47</v>
      </c>
      <c r="H47" s="40">
        <v>6100</v>
      </c>
      <c r="I47" s="40" t="s">
        <v>1069</v>
      </c>
      <c r="J47" s="40" t="s">
        <v>410</v>
      </c>
      <c r="K47" s="40" t="s">
        <v>401</v>
      </c>
      <c r="L47" s="40" t="s">
        <v>48</v>
      </c>
      <c r="M47" s="40" t="s">
        <v>63</v>
      </c>
    </row>
    <row r="48" spans="1:13" x14ac:dyDescent="0.25">
      <c r="A48" s="40" t="s">
        <v>1122</v>
      </c>
      <c r="B48" s="40" t="s">
        <v>4</v>
      </c>
      <c r="C48" s="40" t="s">
        <v>42</v>
      </c>
      <c r="E48" s="40" t="s">
        <v>374</v>
      </c>
      <c r="F48" s="40">
        <v>24.285415649413999</v>
      </c>
      <c r="G48" s="40">
        <v>48</v>
      </c>
      <c r="H48" s="40">
        <v>6000</v>
      </c>
      <c r="I48" s="40" t="s">
        <v>1079</v>
      </c>
      <c r="J48" s="40" t="s">
        <v>404</v>
      </c>
      <c r="K48" s="40" t="s">
        <v>419</v>
      </c>
    </row>
    <row r="49" spans="1:13" x14ac:dyDescent="0.25">
      <c r="A49" s="40" t="s">
        <v>1123</v>
      </c>
      <c r="B49" s="40" t="s">
        <v>7</v>
      </c>
      <c r="C49" s="40" t="s">
        <v>496</v>
      </c>
      <c r="E49" s="40" t="s">
        <v>1124</v>
      </c>
      <c r="F49" s="40">
        <v>27.8553181100398</v>
      </c>
      <c r="G49" s="40">
        <v>47</v>
      </c>
      <c r="H49" s="40">
        <v>6000</v>
      </c>
      <c r="I49" s="40" t="s">
        <v>1060</v>
      </c>
      <c r="J49" s="40" t="s">
        <v>88</v>
      </c>
      <c r="K49" s="40" t="s">
        <v>413</v>
      </c>
      <c r="L49" s="40" t="s">
        <v>48</v>
      </c>
      <c r="M49" s="40" t="s">
        <v>49</v>
      </c>
    </row>
    <row r="50" spans="1:13" x14ac:dyDescent="0.25">
      <c r="A50" s="40" t="s">
        <v>1125</v>
      </c>
      <c r="B50" s="40" t="s">
        <v>6</v>
      </c>
      <c r="C50" s="40" t="s">
        <v>500</v>
      </c>
      <c r="E50" s="40" t="s">
        <v>501</v>
      </c>
      <c r="F50" s="40">
        <v>15.454348356827399</v>
      </c>
      <c r="G50" s="40">
        <v>46</v>
      </c>
      <c r="H50" s="40">
        <v>5900</v>
      </c>
      <c r="I50" s="40" t="s">
        <v>1069</v>
      </c>
      <c r="J50" s="40" t="s">
        <v>401</v>
      </c>
      <c r="K50" s="40" t="s">
        <v>410</v>
      </c>
    </row>
    <row r="51" spans="1:13" x14ac:dyDescent="0.25">
      <c r="A51" s="40" t="s">
        <v>1126</v>
      </c>
      <c r="B51" s="40" t="s">
        <v>3</v>
      </c>
      <c r="C51" s="40" t="s">
        <v>124</v>
      </c>
      <c r="E51" s="40" t="s">
        <v>43</v>
      </c>
      <c r="F51" s="40">
        <v>26.379488431490302</v>
      </c>
      <c r="G51" s="40">
        <v>39</v>
      </c>
      <c r="H51" s="40">
        <v>5900</v>
      </c>
      <c r="I51" s="40" t="s">
        <v>1058</v>
      </c>
      <c r="J51" s="40" t="s">
        <v>87</v>
      </c>
      <c r="K51" s="40" t="s">
        <v>418</v>
      </c>
    </row>
    <row r="52" spans="1:13" x14ac:dyDescent="0.25">
      <c r="A52" s="40" t="s">
        <v>1127</v>
      </c>
      <c r="B52" s="40" t="s">
        <v>6</v>
      </c>
      <c r="C52" s="40" t="s">
        <v>481</v>
      </c>
      <c r="E52" s="40" t="s">
        <v>482</v>
      </c>
      <c r="F52" s="40">
        <v>24.0639990234375</v>
      </c>
      <c r="G52" s="40">
        <v>50</v>
      </c>
      <c r="H52" s="40">
        <v>5800</v>
      </c>
      <c r="I52" s="40" t="s">
        <v>1058</v>
      </c>
      <c r="J52" s="40" t="s">
        <v>418</v>
      </c>
      <c r="K52" s="40" t="s">
        <v>87</v>
      </c>
    </row>
    <row r="53" spans="1:13" x14ac:dyDescent="0.25">
      <c r="A53" s="40" t="s">
        <v>1128</v>
      </c>
      <c r="B53" s="40" t="s">
        <v>5</v>
      </c>
      <c r="C53" s="40" t="s">
        <v>364</v>
      </c>
      <c r="E53" s="40" t="s">
        <v>358</v>
      </c>
      <c r="F53" s="40">
        <v>23.769230769230699</v>
      </c>
      <c r="G53" s="40">
        <v>52</v>
      </c>
      <c r="H53" s="40">
        <v>5800</v>
      </c>
      <c r="I53" s="40" t="s">
        <v>1071</v>
      </c>
      <c r="J53" s="40" t="s">
        <v>445</v>
      </c>
      <c r="K53" s="40" t="s">
        <v>426</v>
      </c>
    </row>
    <row r="54" spans="1:13" x14ac:dyDescent="0.25">
      <c r="A54" s="40" t="s">
        <v>1129</v>
      </c>
      <c r="B54" s="40" t="s">
        <v>7</v>
      </c>
      <c r="C54" s="40" t="s">
        <v>487</v>
      </c>
      <c r="E54" s="40" t="s">
        <v>488</v>
      </c>
      <c r="F54" s="40">
        <v>24.721053274054199</v>
      </c>
      <c r="G54" s="40">
        <v>38</v>
      </c>
      <c r="H54" s="40">
        <v>5800</v>
      </c>
      <c r="I54" s="40" t="s">
        <v>1069</v>
      </c>
      <c r="J54" s="40" t="s">
        <v>410</v>
      </c>
      <c r="K54" s="40" t="s">
        <v>401</v>
      </c>
    </row>
    <row r="55" spans="1:13" x14ac:dyDescent="0.25">
      <c r="A55" s="40" t="s">
        <v>1130</v>
      </c>
      <c r="B55" s="40" t="s">
        <v>4</v>
      </c>
      <c r="C55" s="40" t="s">
        <v>126</v>
      </c>
      <c r="E55" s="40" t="s">
        <v>74</v>
      </c>
      <c r="F55" s="40">
        <v>27.857447847406899</v>
      </c>
      <c r="G55" s="40">
        <v>47</v>
      </c>
      <c r="H55" s="40">
        <v>5700</v>
      </c>
      <c r="I55" s="40" t="s">
        <v>1058</v>
      </c>
      <c r="J55" s="40" t="s">
        <v>87</v>
      </c>
      <c r="K55" s="40" t="s">
        <v>418</v>
      </c>
    </row>
    <row r="56" spans="1:13" x14ac:dyDescent="0.25">
      <c r="A56" s="40" t="s">
        <v>1131</v>
      </c>
      <c r="B56" s="40" t="s">
        <v>3</v>
      </c>
      <c r="C56" s="40" t="s">
        <v>506</v>
      </c>
      <c r="E56" s="40" t="s">
        <v>381</v>
      </c>
      <c r="F56" s="40">
        <v>26.003124237060501</v>
      </c>
      <c r="G56" s="40">
        <v>32</v>
      </c>
      <c r="H56" s="40">
        <v>5700</v>
      </c>
      <c r="I56" s="40" t="s">
        <v>1071</v>
      </c>
      <c r="J56" s="40" t="s">
        <v>445</v>
      </c>
      <c r="K56" s="40" t="s">
        <v>426</v>
      </c>
    </row>
    <row r="57" spans="1:13" x14ac:dyDescent="0.25">
      <c r="A57" s="40" t="s">
        <v>1132</v>
      </c>
      <c r="B57" s="40" t="s">
        <v>4</v>
      </c>
      <c r="C57" s="40" t="s">
        <v>365</v>
      </c>
      <c r="E57" s="40" t="s">
        <v>78</v>
      </c>
      <c r="F57" s="40">
        <v>24.475511200573902</v>
      </c>
      <c r="G57" s="40">
        <v>49</v>
      </c>
      <c r="H57" s="40">
        <v>5700</v>
      </c>
      <c r="I57" s="40" t="s">
        <v>1064</v>
      </c>
      <c r="J57" s="40" t="s">
        <v>354</v>
      </c>
      <c r="K57" s="40" t="s">
        <v>1065</v>
      </c>
      <c r="L57" s="40" t="s">
        <v>53</v>
      </c>
      <c r="M57" s="40" t="s">
        <v>90</v>
      </c>
    </row>
    <row r="58" spans="1:13" x14ac:dyDescent="0.25">
      <c r="A58" s="40" t="s">
        <v>1133</v>
      </c>
      <c r="B58" s="40" t="s">
        <v>3</v>
      </c>
      <c r="C58" s="40" t="s">
        <v>388</v>
      </c>
      <c r="E58" s="40" t="s">
        <v>374</v>
      </c>
      <c r="F58" s="40">
        <v>26.411111111111101</v>
      </c>
      <c r="G58" s="40">
        <v>45</v>
      </c>
      <c r="H58" s="40">
        <v>5600</v>
      </c>
      <c r="I58" s="40" t="s">
        <v>1079</v>
      </c>
      <c r="J58" s="40" t="s">
        <v>404</v>
      </c>
      <c r="K58" s="40" t="s">
        <v>419</v>
      </c>
    </row>
    <row r="59" spans="1:13" x14ac:dyDescent="0.25">
      <c r="A59" s="40" t="s">
        <v>1134</v>
      </c>
      <c r="B59" s="40" t="s">
        <v>7</v>
      </c>
      <c r="C59" s="40" t="s">
        <v>498</v>
      </c>
      <c r="E59" s="40" t="s">
        <v>499</v>
      </c>
      <c r="F59" s="40">
        <v>19.203922047334501</v>
      </c>
      <c r="G59" s="40">
        <v>51</v>
      </c>
      <c r="H59" s="40">
        <v>5600</v>
      </c>
      <c r="I59" s="40" t="s">
        <v>1056</v>
      </c>
      <c r="J59" s="40" t="s">
        <v>430</v>
      </c>
      <c r="K59" s="40" t="s">
        <v>86</v>
      </c>
    </row>
    <row r="60" spans="1:13" x14ac:dyDescent="0.25">
      <c r="A60" s="40" t="s">
        <v>1135</v>
      </c>
      <c r="B60" s="40" t="s">
        <v>4</v>
      </c>
      <c r="C60" s="40" t="s">
        <v>503</v>
      </c>
      <c r="E60" s="40" t="s">
        <v>504</v>
      </c>
      <c r="F60" s="40">
        <v>26.0264155549823</v>
      </c>
      <c r="G60" s="40">
        <v>53</v>
      </c>
      <c r="H60" s="40">
        <v>5500</v>
      </c>
      <c r="I60" s="40" t="s">
        <v>1071</v>
      </c>
      <c r="J60" s="40" t="s">
        <v>445</v>
      </c>
      <c r="K60" s="40" t="s">
        <v>426</v>
      </c>
    </row>
    <row r="61" spans="1:13" x14ac:dyDescent="0.25">
      <c r="A61" s="40" t="s">
        <v>1136</v>
      </c>
      <c r="B61" s="40" t="s">
        <v>6</v>
      </c>
      <c r="C61" s="40" t="s">
        <v>510</v>
      </c>
      <c r="E61" s="40" t="s">
        <v>480</v>
      </c>
      <c r="F61" s="40">
        <v>24.5</v>
      </c>
      <c r="G61" s="40">
        <v>44</v>
      </c>
      <c r="H61" s="40">
        <v>5500</v>
      </c>
      <c r="I61" s="40" t="s">
        <v>1075</v>
      </c>
      <c r="J61" s="40" t="s">
        <v>436</v>
      </c>
      <c r="K61" s="40" t="s">
        <v>1076</v>
      </c>
    </row>
    <row r="62" spans="1:13" x14ac:dyDescent="0.25">
      <c r="A62" s="40" t="s">
        <v>1137</v>
      </c>
      <c r="B62" s="40" t="s">
        <v>4</v>
      </c>
      <c r="C62" s="40" t="s">
        <v>110</v>
      </c>
      <c r="E62" s="40" t="s">
        <v>72</v>
      </c>
      <c r="F62" s="40">
        <v>22.982352462469301</v>
      </c>
      <c r="G62" s="40">
        <v>51</v>
      </c>
      <c r="H62" s="40">
        <v>5500</v>
      </c>
      <c r="I62" s="40" t="s">
        <v>1060</v>
      </c>
      <c r="J62" s="40" t="s">
        <v>413</v>
      </c>
      <c r="K62" s="40" t="s">
        <v>88</v>
      </c>
    </row>
    <row r="63" spans="1:13" x14ac:dyDescent="0.25">
      <c r="A63" s="40" t="s">
        <v>1138</v>
      </c>
      <c r="B63" s="40" t="s">
        <v>4</v>
      </c>
      <c r="C63" s="40" t="s">
        <v>127</v>
      </c>
      <c r="E63" s="40" t="s">
        <v>128</v>
      </c>
      <c r="F63" s="40">
        <v>25.354717902417399</v>
      </c>
      <c r="G63" s="40">
        <v>53</v>
      </c>
      <c r="H63" s="40">
        <v>5500</v>
      </c>
      <c r="I63" s="40" t="s">
        <v>1060</v>
      </c>
      <c r="J63" s="40" t="s">
        <v>88</v>
      </c>
      <c r="K63" s="40" t="s">
        <v>413</v>
      </c>
    </row>
    <row r="64" spans="1:13" x14ac:dyDescent="0.25">
      <c r="A64" s="40" t="s">
        <v>1139</v>
      </c>
      <c r="B64" s="40" t="s">
        <v>4</v>
      </c>
      <c r="C64" s="40" t="s">
        <v>505</v>
      </c>
      <c r="E64" s="40" t="s">
        <v>478</v>
      </c>
      <c r="F64" s="40">
        <v>25.550000508626301</v>
      </c>
      <c r="G64" s="40">
        <v>48</v>
      </c>
      <c r="H64" s="40">
        <v>5300</v>
      </c>
      <c r="I64" s="40" t="s">
        <v>1079</v>
      </c>
      <c r="J64" s="40" t="s">
        <v>419</v>
      </c>
      <c r="K64" s="40" t="s">
        <v>404</v>
      </c>
    </row>
    <row r="65" spans="1:13" x14ac:dyDescent="0.25">
      <c r="A65" s="40" t="s">
        <v>1140</v>
      </c>
      <c r="B65" s="40" t="s">
        <v>7</v>
      </c>
      <c r="C65" s="40" t="s">
        <v>509</v>
      </c>
      <c r="E65" s="40" t="s">
        <v>91</v>
      </c>
      <c r="F65" s="40">
        <v>20.7535705566406</v>
      </c>
      <c r="G65" s="40">
        <v>28</v>
      </c>
      <c r="H65" s="40">
        <v>5300</v>
      </c>
      <c r="I65" s="40" t="s">
        <v>1079</v>
      </c>
      <c r="J65" s="40" t="s">
        <v>404</v>
      </c>
      <c r="K65" s="40" t="s">
        <v>419</v>
      </c>
      <c r="L65" s="40" t="s">
        <v>53</v>
      </c>
      <c r="M65" s="40" t="s">
        <v>63</v>
      </c>
    </row>
    <row r="66" spans="1:13" x14ac:dyDescent="0.25">
      <c r="A66" s="40" t="s">
        <v>1141</v>
      </c>
      <c r="B66" s="40" t="s">
        <v>7</v>
      </c>
      <c r="C66" s="40" t="s">
        <v>519</v>
      </c>
      <c r="E66" s="40" t="s">
        <v>520</v>
      </c>
      <c r="F66" s="40">
        <v>24.487500508626301</v>
      </c>
      <c r="G66" s="40">
        <v>48</v>
      </c>
      <c r="H66" s="40">
        <v>5200</v>
      </c>
      <c r="I66" s="40" t="s">
        <v>1071</v>
      </c>
      <c r="J66" s="40" t="s">
        <v>445</v>
      </c>
      <c r="K66" s="40" t="s">
        <v>426</v>
      </c>
    </row>
    <row r="67" spans="1:13" x14ac:dyDescent="0.25">
      <c r="A67" s="40" t="s">
        <v>1142</v>
      </c>
      <c r="B67" s="40" t="s">
        <v>3</v>
      </c>
      <c r="C67" s="40" t="s">
        <v>92</v>
      </c>
      <c r="E67" s="40" t="s">
        <v>516</v>
      </c>
      <c r="F67" s="40">
        <v>19.575925473813601</v>
      </c>
      <c r="G67" s="40">
        <v>54</v>
      </c>
      <c r="H67" s="40">
        <v>5200</v>
      </c>
      <c r="I67" s="40" t="s">
        <v>1069</v>
      </c>
      <c r="J67" s="40" t="s">
        <v>401</v>
      </c>
      <c r="K67" s="40" t="s">
        <v>410</v>
      </c>
    </row>
    <row r="68" spans="1:13" x14ac:dyDescent="0.25">
      <c r="A68" s="40" t="s">
        <v>1143</v>
      </c>
      <c r="B68" s="40" t="s">
        <v>3</v>
      </c>
      <c r="C68" s="40" t="s">
        <v>125</v>
      </c>
      <c r="E68" s="40" t="s">
        <v>80</v>
      </c>
      <c r="F68" s="40">
        <v>22.524443901909699</v>
      </c>
      <c r="G68" s="40">
        <v>45</v>
      </c>
      <c r="H68" s="40">
        <v>5200</v>
      </c>
      <c r="I68" s="40" t="s">
        <v>1056</v>
      </c>
      <c r="J68" s="40" t="s">
        <v>86</v>
      </c>
      <c r="K68" s="40" t="s">
        <v>430</v>
      </c>
    </row>
    <row r="69" spans="1:13" x14ac:dyDescent="0.25">
      <c r="A69" s="40" t="s">
        <v>1144</v>
      </c>
      <c r="B69" s="40" t="s">
        <v>4</v>
      </c>
      <c r="C69" s="40" t="s">
        <v>511</v>
      </c>
      <c r="E69" s="40" t="s">
        <v>512</v>
      </c>
      <c r="F69" s="40">
        <v>16.996078192018899</v>
      </c>
      <c r="G69" s="40">
        <v>51</v>
      </c>
      <c r="H69" s="40">
        <v>5100</v>
      </c>
      <c r="I69" s="40" t="s">
        <v>1071</v>
      </c>
      <c r="J69" s="40" t="s">
        <v>426</v>
      </c>
      <c r="K69" s="40" t="s">
        <v>445</v>
      </c>
    </row>
    <row r="70" spans="1:13" x14ac:dyDescent="0.25">
      <c r="A70" s="40" t="s">
        <v>1145</v>
      </c>
      <c r="B70" s="40" t="s">
        <v>5</v>
      </c>
      <c r="C70" s="40" t="s">
        <v>129</v>
      </c>
      <c r="E70" s="40" t="s">
        <v>51</v>
      </c>
      <c r="F70" s="40">
        <v>18.2359997558593</v>
      </c>
      <c r="G70" s="40">
        <v>50</v>
      </c>
      <c r="H70" s="40">
        <v>5100</v>
      </c>
      <c r="I70" s="40" t="s">
        <v>1056</v>
      </c>
      <c r="J70" s="40" t="s">
        <v>86</v>
      </c>
      <c r="K70" s="40" t="s">
        <v>430</v>
      </c>
    </row>
    <row r="71" spans="1:13" x14ac:dyDescent="0.25">
      <c r="A71" s="40" t="s">
        <v>1146</v>
      </c>
      <c r="B71" s="40" t="s">
        <v>7</v>
      </c>
      <c r="C71" s="40" t="s">
        <v>513</v>
      </c>
      <c r="E71" s="40" t="s">
        <v>504</v>
      </c>
      <c r="F71" s="40">
        <v>21.921428135463099</v>
      </c>
      <c r="G71" s="40">
        <v>28</v>
      </c>
      <c r="H71" s="40">
        <v>5100</v>
      </c>
      <c r="I71" s="40" t="s">
        <v>1069</v>
      </c>
      <c r="J71" s="40" t="s">
        <v>410</v>
      </c>
      <c r="K71" s="40" t="s">
        <v>401</v>
      </c>
    </row>
    <row r="72" spans="1:13" x14ac:dyDescent="0.25">
      <c r="A72" s="40" t="s">
        <v>1147</v>
      </c>
      <c r="B72" s="40" t="s">
        <v>3</v>
      </c>
      <c r="C72" s="40" t="s">
        <v>514</v>
      </c>
      <c r="E72" s="40" t="s">
        <v>515</v>
      </c>
      <c r="F72" s="40">
        <v>19.862745098039198</v>
      </c>
      <c r="G72" s="40">
        <v>51</v>
      </c>
      <c r="H72" s="40">
        <v>5100</v>
      </c>
      <c r="I72" s="40" t="s">
        <v>1058</v>
      </c>
      <c r="J72" s="40" t="s">
        <v>418</v>
      </c>
      <c r="K72" s="40" t="s">
        <v>87</v>
      </c>
    </row>
    <row r="73" spans="1:13" x14ac:dyDescent="0.25">
      <c r="A73" s="40" t="s">
        <v>1148</v>
      </c>
      <c r="B73" s="40" t="s">
        <v>6</v>
      </c>
      <c r="C73" s="40" t="s">
        <v>1149</v>
      </c>
      <c r="E73" s="40" t="s">
        <v>109</v>
      </c>
      <c r="F73" s="40">
        <v>22.011320294074199</v>
      </c>
      <c r="G73" s="40">
        <v>53</v>
      </c>
      <c r="H73" s="40">
        <v>5000</v>
      </c>
      <c r="I73" s="40" t="s">
        <v>1075</v>
      </c>
      <c r="J73" s="40" t="s">
        <v>1076</v>
      </c>
      <c r="K73" s="40" t="s">
        <v>436</v>
      </c>
    </row>
    <row r="74" spans="1:13" x14ac:dyDescent="0.25">
      <c r="A74" s="40" t="s">
        <v>1150</v>
      </c>
      <c r="B74" s="40" t="s">
        <v>3</v>
      </c>
      <c r="C74" s="40" t="s">
        <v>1151</v>
      </c>
      <c r="E74" s="40" t="s">
        <v>1152</v>
      </c>
      <c r="F74" s="40">
        <v>23.4568176269531</v>
      </c>
      <c r="G74" s="40">
        <v>44</v>
      </c>
      <c r="H74" s="40">
        <v>5000</v>
      </c>
      <c r="I74" s="40" t="s">
        <v>1075</v>
      </c>
      <c r="J74" s="40" t="s">
        <v>1076</v>
      </c>
      <c r="K74" s="40" t="s">
        <v>436</v>
      </c>
    </row>
    <row r="75" spans="1:13" x14ac:dyDescent="0.25">
      <c r="A75" s="40" t="s">
        <v>1153</v>
      </c>
      <c r="B75" s="40" t="s">
        <v>4</v>
      </c>
      <c r="C75" s="40" t="s">
        <v>1154</v>
      </c>
      <c r="E75" s="40" t="s">
        <v>70</v>
      </c>
      <c r="F75" s="40">
        <v>23.515687231924002</v>
      </c>
      <c r="G75" s="40">
        <v>51</v>
      </c>
      <c r="H75" s="40">
        <v>5000</v>
      </c>
      <c r="I75" s="40" t="s">
        <v>1075</v>
      </c>
      <c r="J75" s="40" t="s">
        <v>1076</v>
      </c>
      <c r="K75" s="40" t="s">
        <v>436</v>
      </c>
    </row>
    <row r="76" spans="1:13" x14ac:dyDescent="0.25">
      <c r="A76" s="40" t="s">
        <v>1155</v>
      </c>
      <c r="B76" s="40" t="s">
        <v>3</v>
      </c>
      <c r="C76" s="40" t="s">
        <v>524</v>
      </c>
      <c r="E76" s="40" t="s">
        <v>525</v>
      </c>
      <c r="F76" s="40">
        <v>21.988636363636299</v>
      </c>
      <c r="G76" s="40">
        <v>44</v>
      </c>
      <c r="H76" s="40">
        <v>4900</v>
      </c>
      <c r="I76" s="40" t="s">
        <v>1069</v>
      </c>
      <c r="J76" s="40" t="s">
        <v>410</v>
      </c>
      <c r="K76" s="40" t="s">
        <v>401</v>
      </c>
      <c r="L76" s="40" t="s">
        <v>48</v>
      </c>
      <c r="M76" s="40" t="s">
        <v>93</v>
      </c>
    </row>
    <row r="77" spans="1:13" x14ac:dyDescent="0.25">
      <c r="A77" s="40" t="s">
        <v>1156</v>
      </c>
      <c r="B77" s="40" t="s">
        <v>4</v>
      </c>
      <c r="C77" s="40" t="s">
        <v>538</v>
      </c>
      <c r="E77" s="40" t="s">
        <v>539</v>
      </c>
      <c r="F77" s="40">
        <v>21.548935910488598</v>
      </c>
      <c r="G77" s="40">
        <v>47</v>
      </c>
      <c r="H77" s="40">
        <v>4900</v>
      </c>
      <c r="I77" s="40" t="s">
        <v>1071</v>
      </c>
      <c r="J77" s="40" t="s">
        <v>445</v>
      </c>
      <c r="K77" s="40" t="s">
        <v>426</v>
      </c>
    </row>
    <row r="78" spans="1:13" x14ac:dyDescent="0.25">
      <c r="A78" s="40" t="s">
        <v>1157</v>
      </c>
      <c r="B78" s="40" t="s">
        <v>5</v>
      </c>
      <c r="C78" s="40" t="s">
        <v>521</v>
      </c>
      <c r="E78" s="40" t="s">
        <v>522</v>
      </c>
      <c r="F78" s="40">
        <v>20.805881874234</v>
      </c>
      <c r="G78" s="40">
        <v>51</v>
      </c>
      <c r="H78" s="40">
        <v>4700</v>
      </c>
      <c r="I78" s="40" t="s">
        <v>1056</v>
      </c>
      <c r="J78" s="40" t="s">
        <v>430</v>
      </c>
      <c r="K78" s="40" t="s">
        <v>86</v>
      </c>
    </row>
    <row r="79" spans="1:13" x14ac:dyDescent="0.25">
      <c r="A79" s="40" t="s">
        <v>1158</v>
      </c>
      <c r="B79" s="40" t="s">
        <v>3</v>
      </c>
      <c r="C79" s="40" t="s">
        <v>57</v>
      </c>
      <c r="E79" s="40" t="s">
        <v>1159</v>
      </c>
      <c r="F79" s="40">
        <v>18.809090354225798</v>
      </c>
      <c r="G79" s="40">
        <v>22</v>
      </c>
      <c r="H79" s="40">
        <v>4700</v>
      </c>
      <c r="I79" s="40" t="s">
        <v>1075</v>
      </c>
      <c r="J79" s="40" t="s">
        <v>1076</v>
      </c>
      <c r="K79" s="40" t="s">
        <v>436</v>
      </c>
    </row>
    <row r="80" spans="1:13" x14ac:dyDescent="0.25">
      <c r="A80" s="40" t="s">
        <v>1160</v>
      </c>
      <c r="B80" s="40" t="s">
        <v>5</v>
      </c>
      <c r="C80" s="40" t="s">
        <v>526</v>
      </c>
      <c r="E80" s="40" t="s">
        <v>527</v>
      </c>
      <c r="F80" s="40">
        <v>18.528301886792399</v>
      </c>
      <c r="G80" s="40">
        <v>53</v>
      </c>
      <c r="H80" s="40">
        <v>4700</v>
      </c>
      <c r="I80" s="40" t="s">
        <v>1075</v>
      </c>
      <c r="J80" s="40" t="s">
        <v>436</v>
      </c>
      <c r="K80" s="40" t="s">
        <v>1076</v>
      </c>
    </row>
    <row r="81" spans="1:13" x14ac:dyDescent="0.25">
      <c r="A81" s="40" t="s">
        <v>1161</v>
      </c>
      <c r="B81" s="40" t="s">
        <v>6</v>
      </c>
      <c r="C81" s="40" t="s">
        <v>531</v>
      </c>
      <c r="E81" s="40" t="s">
        <v>532</v>
      </c>
      <c r="F81" s="40">
        <v>16.005714634486601</v>
      </c>
      <c r="G81" s="40">
        <v>35</v>
      </c>
      <c r="H81" s="40">
        <v>4700</v>
      </c>
      <c r="I81" s="40" t="s">
        <v>1058</v>
      </c>
      <c r="J81" s="40" t="s">
        <v>418</v>
      </c>
      <c r="K81" s="40" t="s">
        <v>87</v>
      </c>
    </row>
    <row r="82" spans="1:13" x14ac:dyDescent="0.25">
      <c r="A82" s="40" t="s">
        <v>1162</v>
      </c>
      <c r="B82" s="40" t="s">
        <v>4</v>
      </c>
      <c r="C82" s="40" t="s">
        <v>551</v>
      </c>
      <c r="E82" s="40" t="s">
        <v>398</v>
      </c>
      <c r="F82" s="40">
        <v>21.203774506190999</v>
      </c>
      <c r="G82" s="40">
        <v>53</v>
      </c>
      <c r="H82" s="40">
        <v>4600</v>
      </c>
      <c r="I82" s="40" t="s">
        <v>1067</v>
      </c>
      <c r="J82" s="40" t="s">
        <v>414</v>
      </c>
      <c r="K82" s="40" t="s">
        <v>407</v>
      </c>
    </row>
    <row r="83" spans="1:13" x14ac:dyDescent="0.25">
      <c r="A83" s="40" t="s">
        <v>1163</v>
      </c>
      <c r="B83" s="40" t="s">
        <v>3</v>
      </c>
      <c r="C83" s="40" t="s">
        <v>75</v>
      </c>
      <c r="E83" s="40" t="s">
        <v>133</v>
      </c>
      <c r="F83" s="40">
        <v>21.147272283380602</v>
      </c>
      <c r="G83" s="40">
        <v>55</v>
      </c>
      <c r="H83" s="40">
        <v>4600</v>
      </c>
      <c r="I83" s="40" t="s">
        <v>1058</v>
      </c>
      <c r="J83" s="40" t="s">
        <v>87</v>
      </c>
      <c r="K83" s="40" t="s">
        <v>418</v>
      </c>
    </row>
    <row r="84" spans="1:13" x14ac:dyDescent="0.25">
      <c r="A84" s="40" t="s">
        <v>1164</v>
      </c>
      <c r="B84" s="40" t="s">
        <v>5</v>
      </c>
      <c r="C84" s="40" t="s">
        <v>544</v>
      </c>
      <c r="E84" s="40" t="s">
        <v>545</v>
      </c>
      <c r="F84" s="40">
        <v>20.4038461538461</v>
      </c>
      <c r="G84" s="40">
        <v>52</v>
      </c>
      <c r="H84" s="40">
        <v>4600</v>
      </c>
      <c r="I84" s="40" t="s">
        <v>1079</v>
      </c>
      <c r="J84" s="40" t="s">
        <v>419</v>
      </c>
      <c r="K84" s="40" t="s">
        <v>404</v>
      </c>
    </row>
    <row r="85" spans="1:13" x14ac:dyDescent="0.25">
      <c r="A85" s="40" t="s">
        <v>1165</v>
      </c>
      <c r="B85" s="40" t="s">
        <v>3</v>
      </c>
      <c r="C85" s="40" t="s">
        <v>130</v>
      </c>
      <c r="E85" s="40" t="s">
        <v>131</v>
      </c>
      <c r="F85" s="40">
        <v>19.447058584175799</v>
      </c>
      <c r="G85" s="40">
        <v>51</v>
      </c>
      <c r="H85" s="40">
        <v>4600</v>
      </c>
      <c r="I85" s="40" t="s">
        <v>1056</v>
      </c>
      <c r="J85" s="40" t="s">
        <v>86</v>
      </c>
      <c r="K85" s="40" t="s">
        <v>430</v>
      </c>
      <c r="L85" s="40" t="s">
        <v>53</v>
      </c>
      <c r="M85" s="40" t="s">
        <v>132</v>
      </c>
    </row>
    <row r="86" spans="1:13" x14ac:dyDescent="0.25">
      <c r="A86" s="40" t="s">
        <v>1166</v>
      </c>
      <c r="B86" s="40" t="s">
        <v>5</v>
      </c>
      <c r="C86" s="40" t="s">
        <v>502</v>
      </c>
      <c r="E86" s="40" t="s">
        <v>543</v>
      </c>
      <c r="F86" s="40">
        <v>21.567500305175699</v>
      </c>
      <c r="G86" s="40">
        <v>40</v>
      </c>
      <c r="H86" s="40">
        <v>4500</v>
      </c>
      <c r="I86" s="40" t="s">
        <v>1075</v>
      </c>
      <c r="J86" s="40" t="s">
        <v>436</v>
      </c>
      <c r="K86" s="40" t="s">
        <v>1076</v>
      </c>
    </row>
    <row r="87" spans="1:13" x14ac:dyDescent="0.25">
      <c r="A87" s="40" t="s">
        <v>1167</v>
      </c>
      <c r="B87" s="40" t="s">
        <v>5</v>
      </c>
      <c r="C87" s="40" t="s">
        <v>536</v>
      </c>
      <c r="E87" s="40" t="s">
        <v>537</v>
      </c>
      <c r="F87" s="40">
        <v>18.416327028858401</v>
      </c>
      <c r="G87" s="40">
        <v>49</v>
      </c>
      <c r="H87" s="40">
        <v>4500</v>
      </c>
      <c r="I87" s="40" t="s">
        <v>1079</v>
      </c>
      <c r="J87" s="40" t="s">
        <v>419</v>
      </c>
      <c r="K87" s="40" t="s">
        <v>404</v>
      </c>
    </row>
    <row r="88" spans="1:13" x14ac:dyDescent="0.25">
      <c r="A88" s="40" t="s">
        <v>1168</v>
      </c>
      <c r="B88" s="40" t="s">
        <v>7</v>
      </c>
      <c r="C88" s="40" t="s">
        <v>529</v>
      </c>
      <c r="E88" s="40" t="s">
        <v>371</v>
      </c>
      <c r="F88" s="40">
        <v>21.027659314744</v>
      </c>
      <c r="G88" s="40">
        <v>47</v>
      </c>
      <c r="H88" s="40">
        <v>4500</v>
      </c>
      <c r="I88" s="40" t="s">
        <v>1067</v>
      </c>
      <c r="J88" s="40" t="s">
        <v>414</v>
      </c>
      <c r="K88" s="40" t="s">
        <v>407</v>
      </c>
    </row>
    <row r="89" spans="1:13" x14ac:dyDescent="0.25">
      <c r="A89" s="40" t="s">
        <v>1169</v>
      </c>
      <c r="B89" s="40" t="s">
        <v>7</v>
      </c>
      <c r="C89" s="40" t="s">
        <v>541</v>
      </c>
      <c r="E89" s="40" t="s">
        <v>542</v>
      </c>
      <c r="F89" s="40">
        <v>19.295651643172501</v>
      </c>
      <c r="G89" s="40">
        <v>23</v>
      </c>
      <c r="H89" s="40">
        <v>4500</v>
      </c>
      <c r="I89" s="40" t="s">
        <v>1060</v>
      </c>
      <c r="J89" s="40" t="s">
        <v>413</v>
      </c>
      <c r="K89" s="40" t="s">
        <v>88</v>
      </c>
      <c r="L89" s="40" t="s">
        <v>53</v>
      </c>
      <c r="M89" s="40" t="s">
        <v>63</v>
      </c>
    </row>
    <row r="90" spans="1:13" x14ac:dyDescent="0.25">
      <c r="A90" s="40" t="s">
        <v>1170</v>
      </c>
      <c r="B90" s="40" t="s">
        <v>3</v>
      </c>
      <c r="C90" s="40" t="s">
        <v>529</v>
      </c>
      <c r="E90" s="40" t="s">
        <v>553</v>
      </c>
      <c r="F90" s="40">
        <v>20.215385241386201</v>
      </c>
      <c r="G90" s="40">
        <v>39</v>
      </c>
      <c r="H90" s="40">
        <v>4500</v>
      </c>
      <c r="I90" s="40" t="s">
        <v>1071</v>
      </c>
      <c r="J90" s="40" t="s">
        <v>426</v>
      </c>
      <c r="K90" s="40" t="s">
        <v>445</v>
      </c>
    </row>
    <row r="91" spans="1:13" x14ac:dyDescent="0.25">
      <c r="A91" s="40" t="s">
        <v>1171</v>
      </c>
      <c r="B91" s="40" t="s">
        <v>6</v>
      </c>
      <c r="C91" s="40" t="s">
        <v>546</v>
      </c>
      <c r="E91" s="40" t="s">
        <v>547</v>
      </c>
      <c r="F91" s="40">
        <v>17.618182095614301</v>
      </c>
      <c r="G91" s="40">
        <v>44</v>
      </c>
      <c r="H91" s="40">
        <v>4400</v>
      </c>
      <c r="I91" s="40" t="s">
        <v>1067</v>
      </c>
      <c r="J91" s="40" t="s">
        <v>407</v>
      </c>
      <c r="K91" s="40" t="s">
        <v>414</v>
      </c>
      <c r="L91" s="40" t="s">
        <v>48</v>
      </c>
      <c r="M91" s="40" t="s">
        <v>548</v>
      </c>
    </row>
    <row r="92" spans="1:13" x14ac:dyDescent="0.25">
      <c r="A92" s="40" t="s">
        <v>1172</v>
      </c>
      <c r="B92" s="40" t="s">
        <v>7</v>
      </c>
      <c r="C92" s="40" t="s">
        <v>558</v>
      </c>
      <c r="E92" s="40" t="s">
        <v>559</v>
      </c>
      <c r="F92" s="40">
        <v>14.693103658741901</v>
      </c>
      <c r="G92" s="40">
        <v>29</v>
      </c>
      <c r="H92" s="40">
        <v>4400</v>
      </c>
      <c r="I92" s="40" t="s">
        <v>1079</v>
      </c>
      <c r="J92" s="40" t="s">
        <v>419</v>
      </c>
      <c r="K92" s="40" t="s">
        <v>404</v>
      </c>
    </row>
    <row r="93" spans="1:13" x14ac:dyDescent="0.25">
      <c r="A93" s="40" t="s">
        <v>1173</v>
      </c>
      <c r="B93" s="40" t="s">
        <v>5</v>
      </c>
      <c r="C93" s="40" t="s">
        <v>57</v>
      </c>
      <c r="E93" s="40" t="s">
        <v>523</v>
      </c>
      <c r="F93" s="40">
        <v>14.865116562954199</v>
      </c>
      <c r="G93" s="40">
        <v>43</v>
      </c>
      <c r="H93" s="40">
        <v>4400</v>
      </c>
      <c r="I93" s="40" t="s">
        <v>1058</v>
      </c>
      <c r="J93" s="40" t="s">
        <v>418</v>
      </c>
      <c r="K93" s="40" t="s">
        <v>87</v>
      </c>
    </row>
    <row r="94" spans="1:13" x14ac:dyDescent="0.25">
      <c r="A94" s="40" t="s">
        <v>1174</v>
      </c>
      <c r="B94" s="40" t="s">
        <v>7</v>
      </c>
      <c r="C94" s="40" t="s">
        <v>554</v>
      </c>
      <c r="E94" s="40" t="s">
        <v>555</v>
      </c>
      <c r="F94" s="40">
        <v>12.399999618530201</v>
      </c>
      <c r="G94" s="40">
        <v>1</v>
      </c>
      <c r="H94" s="40">
        <v>4400</v>
      </c>
      <c r="I94" s="40" t="s">
        <v>1058</v>
      </c>
      <c r="J94" s="40" t="s">
        <v>418</v>
      </c>
      <c r="K94" s="40" t="s">
        <v>87</v>
      </c>
    </row>
    <row r="95" spans="1:13" x14ac:dyDescent="0.25">
      <c r="A95" s="40" t="s">
        <v>1175</v>
      </c>
      <c r="B95" s="40" t="s">
        <v>7</v>
      </c>
      <c r="C95" s="40" t="s">
        <v>540</v>
      </c>
      <c r="E95" s="40" t="s">
        <v>512</v>
      </c>
      <c r="F95" s="40">
        <v>18.5</v>
      </c>
      <c r="G95" s="40">
        <v>49</v>
      </c>
      <c r="H95" s="40">
        <v>4400</v>
      </c>
      <c r="I95" s="40" t="s">
        <v>1069</v>
      </c>
      <c r="J95" s="40" t="s">
        <v>401</v>
      </c>
      <c r="K95" s="40" t="s">
        <v>410</v>
      </c>
    </row>
    <row r="96" spans="1:13" x14ac:dyDescent="0.25">
      <c r="A96" s="40" t="s">
        <v>1176</v>
      </c>
      <c r="B96" s="40" t="s">
        <v>3</v>
      </c>
      <c r="C96" s="40" t="s">
        <v>507</v>
      </c>
      <c r="E96" s="40" t="s">
        <v>508</v>
      </c>
      <c r="F96" s="40">
        <v>17.838461068960299</v>
      </c>
      <c r="G96" s="40">
        <v>52</v>
      </c>
      <c r="H96" s="40">
        <v>4400</v>
      </c>
      <c r="I96" s="40" t="s">
        <v>1069</v>
      </c>
      <c r="J96" s="40" t="s">
        <v>410</v>
      </c>
      <c r="K96" s="40" t="s">
        <v>401</v>
      </c>
    </row>
    <row r="97" spans="1:13" x14ac:dyDescent="0.25">
      <c r="A97" s="40" t="s">
        <v>1177</v>
      </c>
      <c r="B97" s="40" t="s">
        <v>7</v>
      </c>
      <c r="C97" s="40" t="s">
        <v>79</v>
      </c>
      <c r="E97" s="40" t="s">
        <v>78</v>
      </c>
      <c r="F97" s="40">
        <v>19.293749491373699</v>
      </c>
      <c r="G97" s="40">
        <v>48</v>
      </c>
      <c r="H97" s="40">
        <v>4300</v>
      </c>
      <c r="I97" s="40" t="s">
        <v>1058</v>
      </c>
      <c r="J97" s="40" t="s">
        <v>87</v>
      </c>
      <c r="K97" s="40" t="s">
        <v>418</v>
      </c>
    </row>
    <row r="98" spans="1:13" x14ac:dyDescent="0.25">
      <c r="A98" s="40" t="s">
        <v>1178</v>
      </c>
      <c r="B98" s="40" t="s">
        <v>4</v>
      </c>
      <c r="C98" s="40" t="s">
        <v>560</v>
      </c>
      <c r="E98" s="40" t="s">
        <v>561</v>
      </c>
      <c r="F98" s="40">
        <v>12.840741192853001</v>
      </c>
      <c r="G98" s="40">
        <v>27</v>
      </c>
      <c r="H98" s="40">
        <v>4300</v>
      </c>
      <c r="I98" s="40" t="s">
        <v>1069</v>
      </c>
      <c r="J98" s="40" t="s">
        <v>410</v>
      </c>
      <c r="K98" s="40" t="s">
        <v>401</v>
      </c>
    </row>
    <row r="99" spans="1:13" x14ac:dyDescent="0.25">
      <c r="A99" s="40" t="s">
        <v>1179</v>
      </c>
      <c r="B99" s="40" t="s">
        <v>4</v>
      </c>
      <c r="C99" s="40" t="s">
        <v>134</v>
      </c>
      <c r="E99" s="40" t="s">
        <v>135</v>
      </c>
      <c r="F99" s="40">
        <v>18.394444783528598</v>
      </c>
      <c r="G99" s="40">
        <v>36</v>
      </c>
      <c r="H99" s="40">
        <v>4200</v>
      </c>
      <c r="I99" s="40" t="s">
        <v>1058</v>
      </c>
      <c r="J99" s="40" t="s">
        <v>87</v>
      </c>
      <c r="K99" s="40" t="s">
        <v>418</v>
      </c>
    </row>
    <row r="100" spans="1:13" x14ac:dyDescent="0.25">
      <c r="A100" s="40" t="s">
        <v>1180</v>
      </c>
      <c r="B100" s="40" t="s">
        <v>3</v>
      </c>
      <c r="C100" s="40" t="s">
        <v>576</v>
      </c>
      <c r="E100" s="40" t="s">
        <v>577</v>
      </c>
      <c r="F100" s="40">
        <v>17.9326092263926</v>
      </c>
      <c r="G100" s="40">
        <v>46</v>
      </c>
      <c r="H100" s="40">
        <v>4200</v>
      </c>
      <c r="I100" s="40" t="s">
        <v>1058</v>
      </c>
      <c r="J100" s="40" t="s">
        <v>418</v>
      </c>
      <c r="K100" s="40" t="s">
        <v>87</v>
      </c>
    </row>
    <row r="101" spans="1:13" x14ac:dyDescent="0.25">
      <c r="A101" s="40" t="s">
        <v>1181</v>
      </c>
      <c r="B101" s="40" t="s">
        <v>5</v>
      </c>
      <c r="C101" s="40" t="s">
        <v>112</v>
      </c>
      <c r="E101" s="40" t="s">
        <v>141</v>
      </c>
      <c r="F101" s="40">
        <v>13.5469385263871</v>
      </c>
      <c r="G101" s="40">
        <v>49</v>
      </c>
      <c r="H101" s="40">
        <v>4200</v>
      </c>
      <c r="I101" s="40" t="s">
        <v>1060</v>
      </c>
      <c r="J101" s="40" t="s">
        <v>88</v>
      </c>
      <c r="K101" s="40" t="s">
        <v>413</v>
      </c>
    </row>
    <row r="102" spans="1:13" x14ac:dyDescent="0.25">
      <c r="A102" s="40" t="s">
        <v>1182</v>
      </c>
      <c r="B102" s="40" t="s">
        <v>3</v>
      </c>
      <c r="C102" s="40" t="s">
        <v>567</v>
      </c>
      <c r="E102" s="40" t="s">
        <v>568</v>
      </c>
      <c r="F102" s="40">
        <v>10.8854166666666</v>
      </c>
      <c r="G102" s="40">
        <v>48</v>
      </c>
      <c r="H102" s="40">
        <v>4200</v>
      </c>
      <c r="I102" s="40" t="s">
        <v>1067</v>
      </c>
      <c r="J102" s="40" t="s">
        <v>407</v>
      </c>
      <c r="K102" s="40" t="s">
        <v>414</v>
      </c>
    </row>
    <row r="103" spans="1:13" x14ac:dyDescent="0.25">
      <c r="A103" s="40" t="s">
        <v>1183</v>
      </c>
      <c r="B103" s="40" t="s">
        <v>6</v>
      </c>
      <c r="C103" s="40" t="s">
        <v>136</v>
      </c>
      <c r="E103" s="40" t="s">
        <v>137</v>
      </c>
      <c r="F103" s="40">
        <v>14.7023258652797</v>
      </c>
      <c r="G103" s="40">
        <v>43</v>
      </c>
      <c r="H103" s="40">
        <v>4200</v>
      </c>
      <c r="I103" s="40" t="s">
        <v>1058</v>
      </c>
      <c r="J103" s="40" t="s">
        <v>87</v>
      </c>
      <c r="K103" s="40" t="s">
        <v>418</v>
      </c>
    </row>
    <row r="104" spans="1:13" x14ac:dyDescent="0.25">
      <c r="A104" s="40" t="s">
        <v>1184</v>
      </c>
      <c r="B104" s="40" t="s">
        <v>5</v>
      </c>
      <c r="C104" s="40" t="s">
        <v>442</v>
      </c>
      <c r="E104" s="40" t="s">
        <v>549</v>
      </c>
      <c r="F104" s="40">
        <v>17.614000244140598</v>
      </c>
      <c r="G104" s="40">
        <v>50</v>
      </c>
      <c r="H104" s="40">
        <v>4200</v>
      </c>
      <c r="I104" s="40" t="s">
        <v>1067</v>
      </c>
      <c r="J104" s="40" t="s">
        <v>407</v>
      </c>
      <c r="K104" s="40" t="s">
        <v>414</v>
      </c>
    </row>
    <row r="105" spans="1:13" x14ac:dyDescent="0.25">
      <c r="A105" s="40" t="s">
        <v>1185</v>
      </c>
      <c r="B105" s="40" t="s">
        <v>6</v>
      </c>
      <c r="C105" s="40" t="s">
        <v>64</v>
      </c>
      <c r="E105" s="40" t="s">
        <v>550</v>
      </c>
      <c r="F105" s="40">
        <v>17.2365382267878</v>
      </c>
      <c r="G105" s="40">
        <v>52</v>
      </c>
      <c r="H105" s="40">
        <v>4200</v>
      </c>
      <c r="I105" s="40" t="s">
        <v>1069</v>
      </c>
      <c r="J105" s="40" t="s">
        <v>401</v>
      </c>
      <c r="K105" s="40" t="s">
        <v>410</v>
      </c>
    </row>
    <row r="106" spans="1:13" x14ac:dyDescent="0.25">
      <c r="A106" s="40" t="s">
        <v>1186</v>
      </c>
      <c r="B106" s="40" t="s">
        <v>5</v>
      </c>
      <c r="C106" s="40" t="s">
        <v>372</v>
      </c>
      <c r="E106" s="40" t="s">
        <v>373</v>
      </c>
      <c r="F106" s="40">
        <v>16.882608164911598</v>
      </c>
      <c r="G106" s="40">
        <v>46</v>
      </c>
      <c r="H106" s="40">
        <v>4200</v>
      </c>
      <c r="I106" s="40" t="s">
        <v>1064</v>
      </c>
      <c r="J106" s="40" t="s">
        <v>354</v>
      </c>
      <c r="K106" s="40" t="s">
        <v>1065</v>
      </c>
    </row>
    <row r="107" spans="1:13" x14ac:dyDescent="0.25">
      <c r="A107" s="40" t="s">
        <v>1187</v>
      </c>
      <c r="B107" s="40" t="s">
        <v>5</v>
      </c>
      <c r="C107" s="40" t="s">
        <v>92</v>
      </c>
      <c r="E107" s="40" t="s">
        <v>144</v>
      </c>
      <c r="F107" s="40">
        <v>16.5945456764914</v>
      </c>
      <c r="G107" s="40">
        <v>55</v>
      </c>
      <c r="H107" s="40">
        <v>4100</v>
      </c>
      <c r="I107" s="40" t="s">
        <v>1058</v>
      </c>
      <c r="J107" s="40" t="s">
        <v>87</v>
      </c>
      <c r="K107" s="40" t="s">
        <v>418</v>
      </c>
    </row>
    <row r="108" spans="1:13" x14ac:dyDescent="0.25">
      <c r="A108" s="40" t="s">
        <v>1188</v>
      </c>
      <c r="B108" s="40" t="s">
        <v>5</v>
      </c>
      <c r="C108" s="40" t="s">
        <v>564</v>
      </c>
      <c r="E108" s="40" t="s">
        <v>54</v>
      </c>
      <c r="F108" s="40">
        <v>14.9549022001378</v>
      </c>
      <c r="G108" s="40">
        <v>51</v>
      </c>
      <c r="H108" s="40">
        <v>4100</v>
      </c>
      <c r="I108" s="40" t="s">
        <v>1060</v>
      </c>
      <c r="J108" s="40" t="s">
        <v>413</v>
      </c>
      <c r="K108" s="40" t="s">
        <v>88</v>
      </c>
    </row>
    <row r="109" spans="1:13" x14ac:dyDescent="0.25">
      <c r="A109" s="40" t="s">
        <v>1189</v>
      </c>
      <c r="B109" s="40" t="s">
        <v>5</v>
      </c>
      <c r="C109" s="40" t="s">
        <v>584</v>
      </c>
      <c r="E109" s="40" t="s">
        <v>585</v>
      </c>
      <c r="F109" s="40">
        <v>11.157143002464601</v>
      </c>
      <c r="G109" s="40">
        <v>42</v>
      </c>
      <c r="H109" s="40">
        <v>4100</v>
      </c>
      <c r="I109" s="40" t="s">
        <v>1058</v>
      </c>
      <c r="J109" s="40" t="s">
        <v>418</v>
      </c>
      <c r="K109" s="40" t="s">
        <v>87</v>
      </c>
    </row>
    <row r="110" spans="1:13" x14ac:dyDescent="0.25">
      <c r="A110" s="40" t="s">
        <v>1190</v>
      </c>
      <c r="B110" s="40" t="s">
        <v>3</v>
      </c>
      <c r="C110" s="40" t="s">
        <v>552</v>
      </c>
      <c r="E110" s="40" t="s">
        <v>69</v>
      </c>
      <c r="F110" s="40">
        <v>19.5846158541165</v>
      </c>
      <c r="G110" s="40">
        <v>52</v>
      </c>
      <c r="H110" s="40">
        <v>4100</v>
      </c>
      <c r="I110" s="40" t="s">
        <v>1071</v>
      </c>
      <c r="J110" s="40" t="s">
        <v>445</v>
      </c>
      <c r="K110" s="40" t="s">
        <v>426</v>
      </c>
    </row>
    <row r="111" spans="1:13" x14ac:dyDescent="0.25">
      <c r="A111" s="40" t="s">
        <v>1191</v>
      </c>
      <c r="B111" s="40" t="s">
        <v>3</v>
      </c>
      <c r="C111" s="40" t="s">
        <v>170</v>
      </c>
      <c r="E111" s="40" t="s">
        <v>72</v>
      </c>
      <c r="F111" s="40">
        <v>8.9656248092651296</v>
      </c>
      <c r="G111" s="40">
        <v>32</v>
      </c>
      <c r="H111" s="40">
        <v>4100</v>
      </c>
      <c r="I111" s="40" t="s">
        <v>1060</v>
      </c>
      <c r="J111" s="40" t="s">
        <v>88</v>
      </c>
      <c r="K111" s="40" t="s">
        <v>413</v>
      </c>
    </row>
    <row r="112" spans="1:13" x14ac:dyDescent="0.25">
      <c r="A112" s="40" t="s">
        <v>1192</v>
      </c>
      <c r="B112" s="40" t="s">
        <v>7</v>
      </c>
      <c r="C112" s="40" t="s">
        <v>138</v>
      </c>
      <c r="E112" s="40" t="s">
        <v>139</v>
      </c>
      <c r="F112" s="40">
        <v>16.4979596819196</v>
      </c>
      <c r="G112" s="40">
        <v>49</v>
      </c>
      <c r="H112" s="40">
        <v>4100</v>
      </c>
      <c r="I112" s="40" t="s">
        <v>1056</v>
      </c>
      <c r="J112" s="40" t="s">
        <v>86</v>
      </c>
      <c r="K112" s="40" t="s">
        <v>430</v>
      </c>
      <c r="L112" s="40" t="s">
        <v>48</v>
      </c>
      <c r="M112" s="40" t="s">
        <v>62</v>
      </c>
    </row>
    <row r="113" spans="1:13" x14ac:dyDescent="0.25">
      <c r="A113" s="40" t="s">
        <v>1193</v>
      </c>
      <c r="B113" s="40" t="s">
        <v>3</v>
      </c>
      <c r="C113" s="40" t="s">
        <v>518</v>
      </c>
      <c r="E113" s="40" t="s">
        <v>570</v>
      </c>
      <c r="F113" s="40">
        <v>14.850000234750601</v>
      </c>
      <c r="G113" s="40">
        <v>52</v>
      </c>
      <c r="H113" s="40">
        <v>4000</v>
      </c>
      <c r="I113" s="40" t="s">
        <v>1069</v>
      </c>
      <c r="J113" s="40" t="s">
        <v>410</v>
      </c>
      <c r="K113" s="40" t="s">
        <v>401</v>
      </c>
    </row>
    <row r="114" spans="1:13" x14ac:dyDescent="0.25">
      <c r="A114" s="40" t="s">
        <v>1194</v>
      </c>
      <c r="B114" s="40" t="s">
        <v>5</v>
      </c>
      <c r="C114" s="40" t="s">
        <v>529</v>
      </c>
      <c r="E114" s="40" t="s">
        <v>562</v>
      </c>
      <c r="F114" s="40">
        <v>14.455999755859301</v>
      </c>
      <c r="G114" s="40">
        <v>50</v>
      </c>
      <c r="H114" s="40">
        <v>4000</v>
      </c>
      <c r="I114" s="40" t="s">
        <v>1058</v>
      </c>
      <c r="J114" s="40" t="s">
        <v>418</v>
      </c>
      <c r="K114" s="40" t="s">
        <v>87</v>
      </c>
    </row>
    <row r="115" spans="1:13" x14ac:dyDescent="0.25">
      <c r="A115" s="40" t="s">
        <v>1195</v>
      </c>
      <c r="B115" s="40" t="s">
        <v>6</v>
      </c>
      <c r="C115" s="40" t="s">
        <v>556</v>
      </c>
      <c r="E115" s="40" t="s">
        <v>557</v>
      </c>
      <c r="F115" s="40">
        <v>15.3043478260869</v>
      </c>
      <c r="G115" s="40">
        <v>46</v>
      </c>
      <c r="H115" s="40">
        <v>4000</v>
      </c>
      <c r="I115" s="40" t="s">
        <v>1071</v>
      </c>
      <c r="J115" s="40" t="s">
        <v>426</v>
      </c>
      <c r="K115" s="40" t="s">
        <v>445</v>
      </c>
    </row>
    <row r="116" spans="1:13" x14ac:dyDescent="0.25">
      <c r="A116" s="40" t="s">
        <v>1196</v>
      </c>
      <c r="B116" s="40" t="s">
        <v>7</v>
      </c>
      <c r="C116" s="40" t="s">
        <v>569</v>
      </c>
      <c r="E116" s="40" t="s">
        <v>398</v>
      </c>
      <c r="F116" s="40">
        <v>16.763635808771301</v>
      </c>
      <c r="G116" s="40">
        <v>44</v>
      </c>
      <c r="H116" s="40">
        <v>3900</v>
      </c>
      <c r="I116" s="40" t="s">
        <v>1071</v>
      </c>
      <c r="J116" s="40" t="s">
        <v>426</v>
      </c>
      <c r="K116" s="40" t="s">
        <v>445</v>
      </c>
    </row>
    <row r="117" spans="1:13" x14ac:dyDescent="0.25">
      <c r="A117" s="40" t="s">
        <v>1197</v>
      </c>
      <c r="B117" s="40" t="s">
        <v>6</v>
      </c>
      <c r="C117" s="40" t="s">
        <v>353</v>
      </c>
      <c r="E117" s="40" t="s">
        <v>583</v>
      </c>
      <c r="F117" s="40">
        <v>17.706666395399299</v>
      </c>
      <c r="G117" s="40">
        <v>45</v>
      </c>
      <c r="H117" s="40">
        <v>3900</v>
      </c>
      <c r="I117" s="40" t="s">
        <v>1058</v>
      </c>
      <c r="J117" s="40" t="s">
        <v>418</v>
      </c>
      <c r="K117" s="40" t="s">
        <v>87</v>
      </c>
    </row>
    <row r="118" spans="1:13" x14ac:dyDescent="0.25">
      <c r="A118" s="40" t="s">
        <v>1198</v>
      </c>
      <c r="B118" s="40" t="s">
        <v>7</v>
      </c>
      <c r="C118" s="40" t="s">
        <v>94</v>
      </c>
      <c r="E118" s="40" t="s">
        <v>169</v>
      </c>
      <c r="F118" s="40">
        <v>18.485713413783401</v>
      </c>
      <c r="G118" s="40">
        <v>7</v>
      </c>
      <c r="H118" s="40">
        <v>3900</v>
      </c>
      <c r="I118" s="40" t="s">
        <v>1060</v>
      </c>
      <c r="J118" s="40" t="s">
        <v>88</v>
      </c>
      <c r="K118" s="40" t="s">
        <v>413</v>
      </c>
    </row>
    <row r="119" spans="1:13" x14ac:dyDescent="0.25">
      <c r="A119" s="40" t="s">
        <v>1199</v>
      </c>
      <c r="B119" s="40" t="s">
        <v>4</v>
      </c>
      <c r="C119" s="40" t="s">
        <v>579</v>
      </c>
      <c r="E119" s="40" t="s">
        <v>580</v>
      </c>
      <c r="F119" s="40">
        <v>14.0981134378685</v>
      </c>
      <c r="G119" s="40">
        <v>53</v>
      </c>
      <c r="H119" s="40">
        <v>3900</v>
      </c>
      <c r="I119" s="40" t="s">
        <v>1075</v>
      </c>
      <c r="J119" s="40" t="s">
        <v>436</v>
      </c>
      <c r="K119" s="40" t="s">
        <v>1076</v>
      </c>
    </row>
    <row r="120" spans="1:13" x14ac:dyDescent="0.25">
      <c r="A120" s="40" t="s">
        <v>1200</v>
      </c>
      <c r="B120" s="40" t="s">
        <v>3</v>
      </c>
      <c r="C120" s="40" t="s">
        <v>605</v>
      </c>
      <c r="E120" s="40" t="s">
        <v>606</v>
      </c>
      <c r="F120" s="40">
        <v>12.6636366410688</v>
      </c>
      <c r="G120" s="40">
        <v>11</v>
      </c>
      <c r="H120" s="40">
        <v>3800</v>
      </c>
      <c r="I120" s="40" t="s">
        <v>1067</v>
      </c>
      <c r="J120" s="40" t="s">
        <v>414</v>
      </c>
      <c r="K120" s="40" t="s">
        <v>407</v>
      </c>
    </row>
    <row r="121" spans="1:13" x14ac:dyDescent="0.25">
      <c r="A121" s="40" t="s">
        <v>1201</v>
      </c>
      <c r="B121" s="40" t="s">
        <v>5</v>
      </c>
      <c r="C121" s="40" t="s">
        <v>42</v>
      </c>
      <c r="E121" s="40" t="s">
        <v>620</v>
      </c>
      <c r="F121" s="40">
        <v>15.8536585365853</v>
      </c>
      <c r="G121" s="40">
        <v>41</v>
      </c>
      <c r="H121" s="40">
        <v>3800</v>
      </c>
      <c r="I121" s="40" t="s">
        <v>1067</v>
      </c>
      <c r="J121" s="40" t="s">
        <v>414</v>
      </c>
      <c r="K121" s="40" t="s">
        <v>407</v>
      </c>
    </row>
    <row r="122" spans="1:13" x14ac:dyDescent="0.25">
      <c r="A122" s="40" t="s">
        <v>1202</v>
      </c>
      <c r="B122" s="40" t="s">
        <v>7</v>
      </c>
      <c r="C122" s="40" t="s">
        <v>565</v>
      </c>
      <c r="E122" s="40" t="s">
        <v>566</v>
      </c>
      <c r="F122" s="40">
        <v>21.388460599459101</v>
      </c>
      <c r="G122" s="40">
        <v>52</v>
      </c>
      <c r="H122" s="40">
        <v>3800</v>
      </c>
      <c r="I122" s="40" t="s">
        <v>1079</v>
      </c>
      <c r="J122" s="40" t="s">
        <v>419</v>
      </c>
      <c r="K122" s="40" t="s">
        <v>404</v>
      </c>
    </row>
    <row r="123" spans="1:13" x14ac:dyDescent="0.25">
      <c r="A123" s="40" t="s">
        <v>1203</v>
      </c>
      <c r="B123" s="40" t="s">
        <v>6</v>
      </c>
      <c r="C123" s="40" t="s">
        <v>142</v>
      </c>
      <c r="E123" s="40" t="s">
        <v>143</v>
      </c>
      <c r="F123" s="40">
        <v>12.3599998474121</v>
      </c>
      <c r="G123" s="40">
        <v>20</v>
      </c>
      <c r="H123" s="40">
        <v>3800</v>
      </c>
      <c r="I123" s="40" t="s">
        <v>1058</v>
      </c>
      <c r="J123" s="40" t="s">
        <v>87</v>
      </c>
      <c r="K123" s="40" t="s">
        <v>418</v>
      </c>
    </row>
    <row r="124" spans="1:13" x14ac:dyDescent="0.25">
      <c r="A124" s="40" t="s">
        <v>1204</v>
      </c>
      <c r="B124" s="40" t="s">
        <v>4</v>
      </c>
      <c r="C124" s="40" t="s">
        <v>370</v>
      </c>
      <c r="E124" s="40" t="s">
        <v>371</v>
      </c>
      <c r="F124" s="40">
        <v>7.8099998474121097</v>
      </c>
      <c r="G124" s="40">
        <v>40</v>
      </c>
      <c r="H124" s="40">
        <v>3800</v>
      </c>
      <c r="I124" s="40" t="s">
        <v>1064</v>
      </c>
      <c r="J124" s="40" t="s">
        <v>354</v>
      </c>
      <c r="K124" s="40" t="s">
        <v>1065</v>
      </c>
    </row>
    <row r="125" spans="1:13" x14ac:dyDescent="0.25">
      <c r="A125" s="40" t="s">
        <v>1205</v>
      </c>
      <c r="B125" s="40" t="s">
        <v>7</v>
      </c>
      <c r="C125" s="40" t="s">
        <v>571</v>
      </c>
      <c r="E125" s="40" t="s">
        <v>572</v>
      </c>
      <c r="F125" s="40">
        <v>17.224489795918299</v>
      </c>
      <c r="G125" s="40">
        <v>49</v>
      </c>
      <c r="H125" s="40">
        <v>3800</v>
      </c>
      <c r="I125" s="40" t="s">
        <v>1060</v>
      </c>
      <c r="J125" s="40" t="s">
        <v>413</v>
      </c>
      <c r="K125" s="40" t="s">
        <v>88</v>
      </c>
    </row>
    <row r="126" spans="1:13" x14ac:dyDescent="0.25">
      <c r="A126" s="40" t="s">
        <v>1206</v>
      </c>
      <c r="B126" s="40" t="s">
        <v>6</v>
      </c>
      <c r="C126" s="40" t="s">
        <v>390</v>
      </c>
      <c r="E126" s="40" t="s">
        <v>1207</v>
      </c>
      <c r="F126" s="40">
        <v>7.0999999046325604</v>
      </c>
      <c r="G126" s="40">
        <v>2</v>
      </c>
      <c r="H126" s="40">
        <v>3800</v>
      </c>
      <c r="I126" s="40" t="s">
        <v>1064</v>
      </c>
      <c r="J126" s="40" t="s">
        <v>1065</v>
      </c>
      <c r="K126" s="40" t="s">
        <v>354</v>
      </c>
    </row>
    <row r="127" spans="1:13" x14ac:dyDescent="0.25">
      <c r="A127" s="40" t="s">
        <v>1208</v>
      </c>
      <c r="B127" s="40" t="s">
        <v>3</v>
      </c>
      <c r="C127" s="40" t="s">
        <v>95</v>
      </c>
      <c r="E127" s="40" t="s">
        <v>173</v>
      </c>
      <c r="F127" s="40">
        <v>11.659183424346301</v>
      </c>
      <c r="G127" s="40">
        <v>49</v>
      </c>
      <c r="H127" s="40">
        <v>3800</v>
      </c>
      <c r="I127" s="40" t="s">
        <v>1060</v>
      </c>
      <c r="J127" s="40" t="s">
        <v>88</v>
      </c>
      <c r="K127" s="40" t="s">
        <v>413</v>
      </c>
      <c r="L127" s="40" t="s">
        <v>53</v>
      </c>
      <c r="M127" s="40" t="s">
        <v>528</v>
      </c>
    </row>
    <row r="128" spans="1:13" x14ac:dyDescent="0.25">
      <c r="A128" s="40" t="s">
        <v>1209</v>
      </c>
      <c r="B128" s="40" t="s">
        <v>5</v>
      </c>
      <c r="C128" s="40" t="s">
        <v>150</v>
      </c>
      <c r="E128" s="40" t="s">
        <v>151</v>
      </c>
      <c r="F128" s="40">
        <v>18.386274749157401</v>
      </c>
      <c r="G128" s="40">
        <v>51</v>
      </c>
      <c r="H128" s="40">
        <v>3800</v>
      </c>
      <c r="I128" s="40" t="s">
        <v>1058</v>
      </c>
      <c r="J128" s="40" t="s">
        <v>87</v>
      </c>
      <c r="K128" s="40" t="s">
        <v>418</v>
      </c>
    </row>
    <row r="129" spans="1:13" x14ac:dyDescent="0.25">
      <c r="A129" s="40" t="s">
        <v>1210</v>
      </c>
      <c r="B129" s="40" t="s">
        <v>6</v>
      </c>
      <c r="C129" s="40" t="s">
        <v>573</v>
      </c>
      <c r="E129" s="40" t="s">
        <v>574</v>
      </c>
      <c r="F129" s="40">
        <v>20.5413048785665</v>
      </c>
      <c r="G129" s="40">
        <v>46</v>
      </c>
      <c r="H129" s="40">
        <v>3800</v>
      </c>
      <c r="I129" s="40" t="s">
        <v>1069</v>
      </c>
      <c r="J129" s="40" t="s">
        <v>401</v>
      </c>
      <c r="K129" s="40" t="s">
        <v>410</v>
      </c>
      <c r="L129" s="40" t="s">
        <v>53</v>
      </c>
      <c r="M129" s="40" t="s">
        <v>62</v>
      </c>
    </row>
    <row r="130" spans="1:13" x14ac:dyDescent="0.25">
      <c r="A130" s="40" t="s">
        <v>1211</v>
      </c>
      <c r="B130" s="40" t="s">
        <v>4</v>
      </c>
      <c r="C130" s="40" t="s">
        <v>96</v>
      </c>
      <c r="E130" s="40" t="s">
        <v>147</v>
      </c>
      <c r="F130" s="40">
        <v>10.476086823836599</v>
      </c>
      <c r="G130" s="40">
        <v>46</v>
      </c>
      <c r="H130" s="40">
        <v>3800</v>
      </c>
      <c r="I130" s="40" t="s">
        <v>1056</v>
      </c>
      <c r="J130" s="40" t="s">
        <v>86</v>
      </c>
      <c r="K130" s="40" t="s">
        <v>430</v>
      </c>
    </row>
    <row r="131" spans="1:13" x14ac:dyDescent="0.25">
      <c r="A131" s="40" t="s">
        <v>1212</v>
      </c>
      <c r="B131" s="40" t="s">
        <v>5</v>
      </c>
      <c r="C131" s="40" t="s">
        <v>375</v>
      </c>
      <c r="E131" s="40" t="s">
        <v>575</v>
      </c>
      <c r="F131" s="40">
        <v>13.5428566446109</v>
      </c>
      <c r="G131" s="40">
        <v>49</v>
      </c>
      <c r="H131" s="40">
        <v>3800</v>
      </c>
      <c r="I131" s="40" t="s">
        <v>1079</v>
      </c>
      <c r="J131" s="40" t="s">
        <v>404</v>
      </c>
      <c r="K131" s="40" t="s">
        <v>419</v>
      </c>
    </row>
    <row r="132" spans="1:13" x14ac:dyDescent="0.25">
      <c r="A132" s="40" t="s">
        <v>1213</v>
      </c>
      <c r="B132" s="40" t="s">
        <v>5</v>
      </c>
      <c r="C132" s="40" t="s">
        <v>601</v>
      </c>
      <c r="E132" s="40" t="s">
        <v>602</v>
      </c>
      <c r="F132" s="40">
        <v>16.927659055019902</v>
      </c>
      <c r="G132" s="40">
        <v>47</v>
      </c>
      <c r="H132" s="40">
        <v>3800</v>
      </c>
      <c r="I132" s="40" t="s">
        <v>1067</v>
      </c>
      <c r="J132" s="40" t="s">
        <v>414</v>
      </c>
      <c r="K132" s="40" t="s">
        <v>407</v>
      </c>
    </row>
    <row r="133" spans="1:13" x14ac:dyDescent="0.25">
      <c r="A133" s="40" t="s">
        <v>1214</v>
      </c>
      <c r="B133" s="40" t="s">
        <v>3</v>
      </c>
      <c r="C133" s="40" t="s">
        <v>1215</v>
      </c>
      <c r="E133" s="40" t="s">
        <v>66</v>
      </c>
      <c r="F133" s="40">
        <v>10.838095528738799</v>
      </c>
      <c r="G133" s="40">
        <v>42</v>
      </c>
      <c r="H133" s="40">
        <v>3700</v>
      </c>
      <c r="I133" s="40" t="s">
        <v>1075</v>
      </c>
      <c r="J133" s="40" t="s">
        <v>1076</v>
      </c>
      <c r="K133" s="40" t="s">
        <v>436</v>
      </c>
    </row>
    <row r="134" spans="1:13" x14ac:dyDescent="0.25">
      <c r="A134" s="40" t="s">
        <v>1216</v>
      </c>
      <c r="B134" s="40" t="s">
        <v>7</v>
      </c>
      <c r="C134" s="40" t="s">
        <v>92</v>
      </c>
      <c r="E134" s="40" t="s">
        <v>643</v>
      </c>
      <c r="F134" s="40">
        <v>17.181999511718701</v>
      </c>
      <c r="G134" s="40">
        <v>50</v>
      </c>
      <c r="H134" s="40">
        <v>3700</v>
      </c>
      <c r="I134" s="40" t="s">
        <v>1075</v>
      </c>
      <c r="J134" s="40" t="s">
        <v>436</v>
      </c>
      <c r="K134" s="40" t="s">
        <v>1076</v>
      </c>
    </row>
    <row r="135" spans="1:13" x14ac:dyDescent="0.25">
      <c r="A135" s="40" t="s">
        <v>1217</v>
      </c>
      <c r="B135" s="40" t="s">
        <v>4</v>
      </c>
      <c r="C135" s="40" t="s">
        <v>50</v>
      </c>
      <c r="E135" s="40" t="s">
        <v>1218</v>
      </c>
      <c r="F135" s="40">
        <v>18.438297352892199</v>
      </c>
      <c r="G135" s="40">
        <v>47</v>
      </c>
      <c r="H135" s="40">
        <v>3700</v>
      </c>
      <c r="I135" s="40" t="s">
        <v>1075</v>
      </c>
      <c r="J135" s="40" t="s">
        <v>1076</v>
      </c>
      <c r="K135" s="40" t="s">
        <v>436</v>
      </c>
    </row>
    <row r="136" spans="1:13" x14ac:dyDescent="0.25">
      <c r="A136" s="40" t="s">
        <v>1219</v>
      </c>
      <c r="B136" s="40" t="s">
        <v>4</v>
      </c>
      <c r="C136" s="40" t="s">
        <v>71</v>
      </c>
      <c r="E136" s="40" t="s">
        <v>148</v>
      </c>
      <c r="F136" s="40">
        <v>13.8097563952934</v>
      </c>
      <c r="G136" s="40">
        <v>41</v>
      </c>
      <c r="H136" s="40">
        <v>3700</v>
      </c>
      <c r="I136" s="40" t="s">
        <v>1056</v>
      </c>
      <c r="J136" s="40" t="s">
        <v>86</v>
      </c>
      <c r="K136" s="40" t="s">
        <v>430</v>
      </c>
    </row>
    <row r="137" spans="1:13" x14ac:dyDescent="0.25">
      <c r="A137" s="40" t="s">
        <v>1220</v>
      </c>
      <c r="B137" s="40" t="s">
        <v>7</v>
      </c>
      <c r="C137" s="40" t="s">
        <v>610</v>
      </c>
      <c r="E137" s="40" t="s">
        <v>611</v>
      </c>
      <c r="F137" s="40">
        <v>16.706060236150499</v>
      </c>
      <c r="G137" s="40">
        <v>33</v>
      </c>
      <c r="H137" s="40">
        <v>3700</v>
      </c>
      <c r="I137" s="40" t="s">
        <v>1079</v>
      </c>
      <c r="J137" s="40" t="s">
        <v>404</v>
      </c>
      <c r="K137" s="40" t="s">
        <v>419</v>
      </c>
    </row>
    <row r="138" spans="1:13" x14ac:dyDescent="0.25">
      <c r="A138" s="40" t="s">
        <v>1221</v>
      </c>
      <c r="B138" s="40" t="s">
        <v>6</v>
      </c>
      <c r="C138" s="40" t="s">
        <v>874</v>
      </c>
      <c r="E138" s="40" t="s">
        <v>875</v>
      </c>
      <c r="F138" s="40">
        <v>18.020455100319602</v>
      </c>
      <c r="G138" s="40">
        <v>44</v>
      </c>
      <c r="H138" s="40">
        <v>3700</v>
      </c>
      <c r="I138" s="40" t="s">
        <v>1069</v>
      </c>
      <c r="J138" s="40" t="s">
        <v>410</v>
      </c>
      <c r="K138" s="40" t="s">
        <v>401</v>
      </c>
    </row>
    <row r="139" spans="1:13" x14ac:dyDescent="0.25">
      <c r="A139" s="40" t="s">
        <v>1222</v>
      </c>
      <c r="B139" s="40" t="s">
        <v>7</v>
      </c>
      <c r="C139" s="40" t="s">
        <v>594</v>
      </c>
      <c r="E139" s="40" t="s">
        <v>595</v>
      </c>
      <c r="F139" s="40">
        <v>6.9047619047618998</v>
      </c>
      <c r="G139" s="40">
        <v>21</v>
      </c>
      <c r="H139" s="40">
        <v>3700</v>
      </c>
      <c r="I139" s="40" t="s">
        <v>1058</v>
      </c>
      <c r="J139" s="40" t="s">
        <v>418</v>
      </c>
      <c r="K139" s="40" t="s">
        <v>87</v>
      </c>
    </row>
    <row r="140" spans="1:13" x14ac:dyDescent="0.25">
      <c r="A140" s="40" t="s">
        <v>1223</v>
      </c>
      <c r="B140" s="40" t="s">
        <v>3</v>
      </c>
      <c r="C140" s="40" t="s">
        <v>75</v>
      </c>
      <c r="E140" s="40" t="s">
        <v>149</v>
      </c>
      <c r="F140" s="40">
        <v>15.050000190734799</v>
      </c>
      <c r="G140" s="40">
        <v>2</v>
      </c>
      <c r="H140" s="40">
        <v>3700</v>
      </c>
      <c r="I140" s="40" t="s">
        <v>1056</v>
      </c>
      <c r="J140" s="40" t="s">
        <v>86</v>
      </c>
      <c r="K140" s="40" t="s">
        <v>430</v>
      </c>
    </row>
    <row r="141" spans="1:13" x14ac:dyDescent="0.25">
      <c r="A141" s="40" t="s">
        <v>1224</v>
      </c>
      <c r="B141" s="40" t="s">
        <v>4</v>
      </c>
      <c r="C141" s="40" t="s">
        <v>377</v>
      </c>
      <c r="E141" s="40" t="s">
        <v>69</v>
      </c>
      <c r="F141" s="40">
        <v>10.474000244140599</v>
      </c>
      <c r="G141" s="40">
        <v>50</v>
      </c>
      <c r="H141" s="40">
        <v>3700</v>
      </c>
      <c r="I141" s="40" t="s">
        <v>1064</v>
      </c>
      <c r="J141" s="40" t="s">
        <v>1065</v>
      </c>
      <c r="K141" s="40" t="s">
        <v>354</v>
      </c>
    </row>
    <row r="142" spans="1:13" x14ac:dyDescent="0.25">
      <c r="A142" s="40" t="s">
        <v>1225</v>
      </c>
      <c r="B142" s="40" t="s">
        <v>3</v>
      </c>
      <c r="C142" s="40" t="s">
        <v>797</v>
      </c>
      <c r="E142" s="40" t="s">
        <v>798</v>
      </c>
      <c r="F142" s="40">
        <v>12.4887094805317</v>
      </c>
      <c r="G142" s="40">
        <v>62</v>
      </c>
      <c r="H142" s="40">
        <v>3700</v>
      </c>
      <c r="I142" s="40" t="s">
        <v>1075</v>
      </c>
      <c r="J142" s="40" t="s">
        <v>436</v>
      </c>
      <c r="K142" s="40" t="s">
        <v>1076</v>
      </c>
    </row>
    <row r="143" spans="1:13" x14ac:dyDescent="0.25">
      <c r="A143" s="40" t="s">
        <v>1226</v>
      </c>
      <c r="B143" s="40" t="s">
        <v>6</v>
      </c>
      <c r="C143" s="40" t="s">
        <v>154</v>
      </c>
      <c r="E143" s="40" t="s">
        <v>155</v>
      </c>
      <c r="F143" s="40">
        <v>15.2169811320754</v>
      </c>
      <c r="G143" s="40">
        <v>53</v>
      </c>
      <c r="H143" s="40">
        <v>3600</v>
      </c>
      <c r="I143" s="40" t="s">
        <v>1056</v>
      </c>
      <c r="J143" s="40" t="s">
        <v>86</v>
      </c>
      <c r="K143" s="40" t="s">
        <v>430</v>
      </c>
    </row>
    <row r="144" spans="1:13" x14ac:dyDescent="0.25">
      <c r="A144" s="40" t="s">
        <v>1227</v>
      </c>
      <c r="B144" s="40" t="s">
        <v>6</v>
      </c>
      <c r="C144" s="40" t="s">
        <v>603</v>
      </c>
      <c r="E144" s="40" t="s">
        <v>604</v>
      </c>
      <c r="F144" s="40">
        <v>10.846808250914201</v>
      </c>
      <c r="G144" s="40">
        <v>47</v>
      </c>
      <c r="H144" s="40">
        <v>3600</v>
      </c>
      <c r="I144" s="40" t="s">
        <v>1067</v>
      </c>
      <c r="J144" s="40" t="s">
        <v>407</v>
      </c>
      <c r="K144" s="40" t="s">
        <v>414</v>
      </c>
      <c r="L144" s="40" t="s">
        <v>53</v>
      </c>
      <c r="M144" s="40" t="s">
        <v>1228</v>
      </c>
    </row>
    <row r="145" spans="1:13" x14ac:dyDescent="0.25">
      <c r="A145" s="40" t="s">
        <v>1229</v>
      </c>
      <c r="B145" s="40" t="s">
        <v>4</v>
      </c>
      <c r="C145" s="40" t="s">
        <v>607</v>
      </c>
      <c r="E145" s="40" t="s">
        <v>608</v>
      </c>
      <c r="F145" s="40">
        <v>10.433333502875399</v>
      </c>
      <c r="G145" s="40">
        <v>9</v>
      </c>
      <c r="H145" s="40">
        <v>3600</v>
      </c>
      <c r="I145" s="40" t="s">
        <v>1060</v>
      </c>
      <c r="J145" s="40" t="s">
        <v>413</v>
      </c>
      <c r="K145" s="40" t="s">
        <v>88</v>
      </c>
    </row>
    <row r="146" spans="1:13" x14ac:dyDescent="0.25">
      <c r="A146" s="40" t="s">
        <v>1230</v>
      </c>
      <c r="B146" s="40" t="s">
        <v>6</v>
      </c>
      <c r="C146" s="40" t="s">
        <v>614</v>
      </c>
      <c r="E146" s="40" t="s">
        <v>615</v>
      </c>
      <c r="F146" s="40">
        <v>10.705999755859301</v>
      </c>
      <c r="G146" s="40">
        <v>50</v>
      </c>
      <c r="H146" s="40">
        <v>3600</v>
      </c>
      <c r="I146" s="40" t="s">
        <v>1071</v>
      </c>
      <c r="J146" s="40" t="s">
        <v>445</v>
      </c>
      <c r="K146" s="40" t="s">
        <v>426</v>
      </c>
    </row>
    <row r="147" spans="1:13" x14ac:dyDescent="0.25">
      <c r="A147" s="40" t="s">
        <v>1231</v>
      </c>
      <c r="B147" s="40" t="s">
        <v>5</v>
      </c>
      <c r="C147" s="40" t="s">
        <v>654</v>
      </c>
      <c r="E147" s="40" t="s">
        <v>655</v>
      </c>
      <c r="F147" s="40">
        <v>6.2652176566745901</v>
      </c>
      <c r="G147" s="40">
        <v>23</v>
      </c>
      <c r="H147" s="40">
        <v>3600</v>
      </c>
      <c r="I147" s="40" t="s">
        <v>1056</v>
      </c>
      <c r="J147" s="40" t="s">
        <v>430</v>
      </c>
      <c r="K147" s="40" t="s">
        <v>86</v>
      </c>
    </row>
    <row r="148" spans="1:13" x14ac:dyDescent="0.25">
      <c r="A148" s="40" t="s">
        <v>1232</v>
      </c>
      <c r="B148" s="40" t="s">
        <v>3</v>
      </c>
      <c r="C148" s="40" t="s">
        <v>498</v>
      </c>
      <c r="E148" s="40" t="s">
        <v>859</v>
      </c>
      <c r="F148" s="40">
        <v>21.730769230769202</v>
      </c>
      <c r="G148" s="40">
        <v>39</v>
      </c>
      <c r="H148" s="40">
        <v>3600</v>
      </c>
      <c r="I148" s="40" t="s">
        <v>1060</v>
      </c>
      <c r="J148" s="40" t="s">
        <v>413</v>
      </c>
      <c r="K148" s="40" t="s">
        <v>88</v>
      </c>
    </row>
    <row r="149" spans="1:13" x14ac:dyDescent="0.25">
      <c r="A149" s="40" t="s">
        <v>1233</v>
      </c>
      <c r="B149" s="40" t="s">
        <v>5</v>
      </c>
      <c r="C149" s="40" t="s">
        <v>480</v>
      </c>
      <c r="E149" s="40" t="s">
        <v>592</v>
      </c>
      <c r="F149" s="40">
        <v>12.715999755859301</v>
      </c>
      <c r="G149" s="40">
        <v>25</v>
      </c>
      <c r="H149" s="40">
        <v>3600</v>
      </c>
      <c r="I149" s="40" t="s">
        <v>1067</v>
      </c>
      <c r="J149" s="40" t="s">
        <v>414</v>
      </c>
      <c r="K149" s="40" t="s">
        <v>407</v>
      </c>
      <c r="L149" s="40" t="s">
        <v>48</v>
      </c>
      <c r="M149" s="40" t="s">
        <v>1234</v>
      </c>
    </row>
    <row r="150" spans="1:13" x14ac:dyDescent="0.25">
      <c r="A150" s="40" t="s">
        <v>1235</v>
      </c>
      <c r="B150" s="40" t="s">
        <v>7</v>
      </c>
      <c r="C150" s="40" t="s">
        <v>597</v>
      </c>
      <c r="E150" s="40" t="s">
        <v>456</v>
      </c>
      <c r="F150" s="40">
        <v>14.246296070240099</v>
      </c>
      <c r="G150" s="40">
        <v>54</v>
      </c>
      <c r="H150" s="40">
        <v>3600</v>
      </c>
      <c r="I150" s="40" t="s">
        <v>1069</v>
      </c>
      <c r="J150" s="40" t="s">
        <v>401</v>
      </c>
      <c r="K150" s="40" t="s">
        <v>410</v>
      </c>
    </row>
    <row r="151" spans="1:13" x14ac:dyDescent="0.25">
      <c r="A151" s="40" t="s">
        <v>1236</v>
      </c>
      <c r="B151" s="40" t="s">
        <v>4</v>
      </c>
      <c r="C151" s="40" t="s">
        <v>152</v>
      </c>
      <c r="E151" s="40" t="s">
        <v>153</v>
      </c>
      <c r="F151" s="40">
        <v>12.772727272727201</v>
      </c>
      <c r="G151" s="40">
        <v>22</v>
      </c>
      <c r="H151" s="40">
        <v>3600</v>
      </c>
      <c r="I151" s="40" t="s">
        <v>1056</v>
      </c>
      <c r="J151" s="40" t="s">
        <v>86</v>
      </c>
      <c r="K151" s="40" t="s">
        <v>430</v>
      </c>
      <c r="L151" s="40" t="s">
        <v>48</v>
      </c>
      <c r="M151" s="40" t="s">
        <v>60</v>
      </c>
    </row>
    <row r="152" spans="1:13" x14ac:dyDescent="0.25">
      <c r="A152" s="40" t="s">
        <v>1237</v>
      </c>
      <c r="B152" s="40" t="s">
        <v>7</v>
      </c>
      <c r="C152" s="40" t="s">
        <v>368</v>
      </c>
      <c r="E152" s="40" t="s">
        <v>369</v>
      </c>
      <c r="F152" s="40">
        <v>16.772727272727199</v>
      </c>
      <c r="G152" s="40">
        <v>44</v>
      </c>
      <c r="H152" s="40">
        <v>3600</v>
      </c>
      <c r="I152" s="40" t="s">
        <v>1064</v>
      </c>
      <c r="J152" s="40" t="s">
        <v>354</v>
      </c>
      <c r="K152" s="40" t="s">
        <v>1065</v>
      </c>
    </row>
    <row r="153" spans="1:13" x14ac:dyDescent="0.25">
      <c r="A153" s="40" t="s">
        <v>1238</v>
      </c>
      <c r="B153" s="40" t="s">
        <v>7</v>
      </c>
      <c r="C153" s="40" t="s">
        <v>92</v>
      </c>
      <c r="E153" s="40" t="s">
        <v>168</v>
      </c>
      <c r="F153" s="40">
        <v>7.1736843711451401</v>
      </c>
      <c r="G153" s="40">
        <v>19</v>
      </c>
      <c r="H153" s="40">
        <v>3600</v>
      </c>
      <c r="I153" s="40" t="s">
        <v>1060</v>
      </c>
      <c r="J153" s="40" t="s">
        <v>88</v>
      </c>
      <c r="K153" s="40" t="s">
        <v>413</v>
      </c>
    </row>
    <row r="154" spans="1:13" x14ac:dyDescent="0.25">
      <c r="A154" s="40" t="s">
        <v>1239</v>
      </c>
      <c r="B154" s="40" t="s">
        <v>7</v>
      </c>
      <c r="C154" s="40" t="s">
        <v>59</v>
      </c>
      <c r="E154" s="40" t="s">
        <v>140</v>
      </c>
      <c r="F154" s="40">
        <v>8.7236842105263097</v>
      </c>
      <c r="G154" s="40">
        <v>38</v>
      </c>
      <c r="H154" s="40">
        <v>3600</v>
      </c>
      <c r="I154" s="40" t="s">
        <v>1056</v>
      </c>
      <c r="J154" s="40" t="s">
        <v>86</v>
      </c>
      <c r="K154" s="40" t="s">
        <v>430</v>
      </c>
    </row>
    <row r="155" spans="1:13" x14ac:dyDescent="0.25">
      <c r="A155" s="40" t="s">
        <v>1240</v>
      </c>
      <c r="B155" s="40" t="s">
        <v>6</v>
      </c>
      <c r="C155" s="40" t="s">
        <v>361</v>
      </c>
      <c r="E155" s="40" t="s">
        <v>82</v>
      </c>
      <c r="F155" s="40">
        <v>15.630768996018601</v>
      </c>
      <c r="G155" s="40">
        <v>52</v>
      </c>
      <c r="H155" s="40">
        <v>3600</v>
      </c>
      <c r="I155" s="40" t="s">
        <v>1064</v>
      </c>
      <c r="J155" s="40" t="s">
        <v>354</v>
      </c>
      <c r="K155" s="40" t="s">
        <v>1065</v>
      </c>
    </row>
    <row r="156" spans="1:13" x14ac:dyDescent="0.25">
      <c r="A156" s="40" t="s">
        <v>1241</v>
      </c>
      <c r="B156" s="40" t="s">
        <v>6</v>
      </c>
      <c r="C156" s="40" t="s">
        <v>597</v>
      </c>
      <c r="E156" s="40" t="s">
        <v>598</v>
      </c>
      <c r="F156" s="40">
        <v>15.454348356827399</v>
      </c>
      <c r="G156" s="40">
        <v>46</v>
      </c>
      <c r="H156" s="40">
        <v>3600</v>
      </c>
      <c r="I156" s="40" t="s">
        <v>1079</v>
      </c>
      <c r="J156" s="40" t="s">
        <v>419</v>
      </c>
      <c r="K156" s="40" t="s">
        <v>404</v>
      </c>
    </row>
    <row r="157" spans="1:13" x14ac:dyDescent="0.25">
      <c r="A157" s="40" t="s">
        <v>1242</v>
      </c>
      <c r="B157" s="40" t="s">
        <v>5</v>
      </c>
      <c r="C157" s="40" t="s">
        <v>599</v>
      </c>
      <c r="E157" s="40" t="s">
        <v>600</v>
      </c>
      <c r="F157" s="40">
        <v>18.574999722567402</v>
      </c>
      <c r="G157" s="40">
        <v>44</v>
      </c>
      <c r="H157" s="40">
        <v>3600</v>
      </c>
      <c r="I157" s="40" t="s">
        <v>1056</v>
      </c>
      <c r="J157" s="40" t="s">
        <v>430</v>
      </c>
      <c r="K157" s="40" t="s">
        <v>86</v>
      </c>
      <c r="L157" s="40" t="s">
        <v>48</v>
      </c>
      <c r="M157" s="40" t="s">
        <v>474</v>
      </c>
    </row>
    <row r="158" spans="1:13" x14ac:dyDescent="0.25">
      <c r="A158" s="40" t="s">
        <v>1243</v>
      </c>
      <c r="B158" s="40" t="s">
        <v>4</v>
      </c>
      <c r="C158" s="40" t="s">
        <v>581</v>
      </c>
      <c r="E158" s="40" t="s">
        <v>582</v>
      </c>
      <c r="F158" s="40">
        <v>17.670588474647602</v>
      </c>
      <c r="G158" s="40">
        <v>51</v>
      </c>
      <c r="H158" s="40">
        <v>3600</v>
      </c>
      <c r="I158" s="40" t="s">
        <v>1075</v>
      </c>
      <c r="J158" s="40" t="s">
        <v>436</v>
      </c>
      <c r="K158" s="40" t="s">
        <v>1076</v>
      </c>
    </row>
    <row r="159" spans="1:13" x14ac:dyDescent="0.25">
      <c r="A159" s="40" t="s">
        <v>1244</v>
      </c>
      <c r="B159" s="40" t="s">
        <v>4</v>
      </c>
      <c r="C159" s="40" t="s">
        <v>97</v>
      </c>
      <c r="E159" s="40" t="s">
        <v>784</v>
      </c>
      <c r="F159" s="40">
        <v>14.125</v>
      </c>
      <c r="G159" s="40">
        <v>36</v>
      </c>
      <c r="H159" s="40">
        <v>3600</v>
      </c>
      <c r="I159" s="40" t="s">
        <v>1075</v>
      </c>
      <c r="J159" s="40" t="s">
        <v>436</v>
      </c>
      <c r="K159" s="40" t="s">
        <v>1076</v>
      </c>
    </row>
    <row r="160" spans="1:13" x14ac:dyDescent="0.25">
      <c r="A160" s="40" t="s">
        <v>1245</v>
      </c>
      <c r="B160" s="40" t="s">
        <v>3</v>
      </c>
      <c r="C160" s="40" t="s">
        <v>45</v>
      </c>
      <c r="E160" s="40" t="s">
        <v>1246</v>
      </c>
      <c r="F160" s="40">
        <v>9.8633331298828093</v>
      </c>
      <c r="G160" s="40">
        <v>30</v>
      </c>
      <c r="H160" s="40">
        <v>3500</v>
      </c>
      <c r="I160" s="40" t="s">
        <v>1075</v>
      </c>
      <c r="J160" s="40" t="s">
        <v>1076</v>
      </c>
      <c r="K160" s="40" t="s">
        <v>436</v>
      </c>
      <c r="L160" s="40" t="s">
        <v>53</v>
      </c>
      <c r="M160" s="40" t="s">
        <v>1247</v>
      </c>
    </row>
    <row r="161" spans="1:11" x14ac:dyDescent="0.25">
      <c r="A161" s="40" t="s">
        <v>1248</v>
      </c>
      <c r="B161" s="40" t="s">
        <v>7</v>
      </c>
      <c r="C161" s="40" t="s">
        <v>801</v>
      </c>
      <c r="E161" s="40" t="s">
        <v>802</v>
      </c>
      <c r="F161" s="40">
        <v>11.2699996948242</v>
      </c>
      <c r="G161" s="40">
        <v>40</v>
      </c>
      <c r="H161" s="40">
        <v>3500</v>
      </c>
      <c r="I161" s="40" t="s">
        <v>1079</v>
      </c>
      <c r="J161" s="40" t="s">
        <v>419</v>
      </c>
      <c r="K161" s="40" t="s">
        <v>404</v>
      </c>
    </row>
    <row r="162" spans="1:11" x14ac:dyDescent="0.25">
      <c r="A162" s="40" t="s">
        <v>1249</v>
      </c>
      <c r="B162" s="40" t="s">
        <v>5</v>
      </c>
      <c r="C162" s="40" t="s">
        <v>461</v>
      </c>
      <c r="E162" s="40" t="s">
        <v>804</v>
      </c>
      <c r="F162" s="40">
        <v>3.2545453851873201</v>
      </c>
      <c r="G162" s="40">
        <v>11</v>
      </c>
      <c r="H162" s="40">
        <v>3500</v>
      </c>
      <c r="I162" s="40" t="s">
        <v>1069</v>
      </c>
      <c r="J162" s="40" t="s">
        <v>410</v>
      </c>
      <c r="K162" s="40" t="s">
        <v>401</v>
      </c>
    </row>
    <row r="163" spans="1:11" x14ac:dyDescent="0.25">
      <c r="A163" s="40" t="s">
        <v>1250</v>
      </c>
      <c r="B163" s="40" t="s">
        <v>7</v>
      </c>
      <c r="C163" s="40" t="s">
        <v>806</v>
      </c>
      <c r="E163" s="40" t="s">
        <v>523</v>
      </c>
      <c r="F163" s="40">
        <v>4.4625000953674299</v>
      </c>
      <c r="G163" s="40">
        <v>16</v>
      </c>
      <c r="H163" s="40">
        <v>3500</v>
      </c>
      <c r="I163" s="40" t="s">
        <v>1069</v>
      </c>
      <c r="J163" s="40" t="s">
        <v>410</v>
      </c>
      <c r="K163" s="40" t="s">
        <v>401</v>
      </c>
    </row>
    <row r="164" spans="1:11" x14ac:dyDescent="0.25">
      <c r="A164" s="40" t="s">
        <v>1251</v>
      </c>
      <c r="B164" s="40" t="s">
        <v>5</v>
      </c>
      <c r="C164" s="40" t="s">
        <v>612</v>
      </c>
      <c r="E164" s="40" t="s">
        <v>613</v>
      </c>
      <c r="F164" s="40">
        <v>7.0483870967741904</v>
      </c>
      <c r="G164" s="40">
        <v>31</v>
      </c>
      <c r="H164" s="40">
        <v>3500</v>
      </c>
      <c r="I164" s="40" t="s">
        <v>1056</v>
      </c>
      <c r="J164" s="40" t="s">
        <v>430</v>
      </c>
      <c r="K164" s="40" t="s">
        <v>86</v>
      </c>
    </row>
    <row r="165" spans="1:11" x14ac:dyDescent="0.25">
      <c r="A165" s="40" t="s">
        <v>1252</v>
      </c>
      <c r="B165" s="40" t="s">
        <v>4</v>
      </c>
      <c r="C165" s="40" t="s">
        <v>75</v>
      </c>
      <c r="E165" s="40" t="s">
        <v>54</v>
      </c>
      <c r="F165" s="40">
        <v>4.92000007629394</v>
      </c>
      <c r="G165" s="40">
        <v>5</v>
      </c>
      <c r="H165" s="40">
        <v>3500</v>
      </c>
      <c r="I165" s="40" t="s">
        <v>1060</v>
      </c>
      <c r="J165" s="40" t="s">
        <v>88</v>
      </c>
      <c r="K165" s="40" t="s">
        <v>413</v>
      </c>
    </row>
    <row r="166" spans="1:11" x14ac:dyDescent="0.25">
      <c r="A166" s="40" t="s">
        <v>1253</v>
      </c>
      <c r="B166" s="40" t="s">
        <v>4</v>
      </c>
      <c r="C166" s="40" t="s">
        <v>47</v>
      </c>
      <c r="E166" s="40" t="s">
        <v>367</v>
      </c>
      <c r="F166" s="40">
        <v>8.7344828638537102</v>
      </c>
      <c r="G166" s="40">
        <v>29</v>
      </c>
      <c r="H166" s="40">
        <v>3500</v>
      </c>
      <c r="I166" s="40" t="s">
        <v>1064</v>
      </c>
      <c r="J166" s="40" t="s">
        <v>354</v>
      </c>
      <c r="K166" s="40" t="s">
        <v>1065</v>
      </c>
    </row>
    <row r="167" spans="1:11" x14ac:dyDescent="0.25">
      <c r="A167" s="40" t="s">
        <v>1254</v>
      </c>
      <c r="B167" s="40" t="s">
        <v>6</v>
      </c>
      <c r="C167" s="40" t="s">
        <v>441</v>
      </c>
      <c r="E167" s="40" t="s">
        <v>71</v>
      </c>
      <c r="F167" s="40">
        <v>4.7571427481514998</v>
      </c>
      <c r="G167" s="40">
        <v>7</v>
      </c>
      <c r="H167" s="40">
        <v>3500</v>
      </c>
      <c r="I167" s="40" t="s">
        <v>1071</v>
      </c>
      <c r="J167" s="40" t="s">
        <v>426</v>
      </c>
      <c r="K167" s="40" t="s">
        <v>445</v>
      </c>
    </row>
    <row r="168" spans="1:11" x14ac:dyDescent="0.25">
      <c r="A168" s="40" t="s">
        <v>1255</v>
      </c>
      <c r="B168" s="40" t="s">
        <v>3</v>
      </c>
      <c r="C168" s="40" t="s">
        <v>616</v>
      </c>
      <c r="E168" s="40" t="s">
        <v>617</v>
      </c>
      <c r="F168" s="40">
        <v>6.6333332061767498</v>
      </c>
      <c r="G168" s="40">
        <v>3</v>
      </c>
      <c r="H168" s="40">
        <v>3500</v>
      </c>
      <c r="I168" s="40" t="s">
        <v>1079</v>
      </c>
      <c r="J168" s="40" t="s">
        <v>419</v>
      </c>
      <c r="K168" s="40" t="s">
        <v>404</v>
      </c>
    </row>
    <row r="169" spans="1:11" x14ac:dyDescent="0.25">
      <c r="A169" s="40" t="s">
        <v>1256</v>
      </c>
      <c r="B169" s="40" t="s">
        <v>7</v>
      </c>
      <c r="C169" s="40" t="s">
        <v>1257</v>
      </c>
      <c r="E169" s="40" t="s">
        <v>1258</v>
      </c>
      <c r="F169" s="40">
        <v>8.6472218831380196</v>
      </c>
      <c r="G169" s="40">
        <v>36</v>
      </c>
      <c r="H169" s="40">
        <v>3500</v>
      </c>
      <c r="I169" s="40" t="s">
        <v>1064</v>
      </c>
      <c r="J169" s="40" t="s">
        <v>1065</v>
      </c>
      <c r="K169" s="40" t="s">
        <v>354</v>
      </c>
    </row>
    <row r="170" spans="1:11" x14ac:dyDescent="0.25">
      <c r="A170" s="40" t="s">
        <v>1259</v>
      </c>
      <c r="B170" s="40" t="s">
        <v>4</v>
      </c>
      <c r="C170" s="40" t="s">
        <v>162</v>
      </c>
      <c r="E170" s="40" t="s">
        <v>163</v>
      </c>
      <c r="F170" s="40">
        <v>5.2000002179826996</v>
      </c>
      <c r="G170" s="40">
        <v>7</v>
      </c>
      <c r="H170" s="40">
        <v>3500</v>
      </c>
      <c r="I170" s="40" t="s">
        <v>1056</v>
      </c>
      <c r="J170" s="40" t="s">
        <v>86</v>
      </c>
      <c r="K170" s="40" t="s">
        <v>430</v>
      </c>
    </row>
    <row r="171" spans="1:11" x14ac:dyDescent="0.25">
      <c r="A171" s="40" t="s">
        <v>1260</v>
      </c>
      <c r="B171" s="40" t="s">
        <v>5</v>
      </c>
      <c r="C171" s="40" t="s">
        <v>618</v>
      </c>
      <c r="E171" s="40" t="s">
        <v>619</v>
      </c>
      <c r="F171" s="40">
        <v>8.3772728659889903</v>
      </c>
      <c r="G171" s="40">
        <v>44</v>
      </c>
      <c r="H171" s="40">
        <v>3500</v>
      </c>
      <c r="I171" s="40" t="s">
        <v>1079</v>
      </c>
      <c r="J171" s="40" t="s">
        <v>404</v>
      </c>
      <c r="K171" s="40" t="s">
        <v>419</v>
      </c>
    </row>
    <row r="172" spans="1:11" x14ac:dyDescent="0.25">
      <c r="A172" s="40" t="s">
        <v>1261</v>
      </c>
      <c r="B172" s="40" t="s">
        <v>6</v>
      </c>
      <c r="C172" s="40" t="s">
        <v>166</v>
      </c>
      <c r="E172" s="40" t="s">
        <v>167</v>
      </c>
      <c r="F172" s="40">
        <v>7.6416664123535103</v>
      </c>
      <c r="G172" s="40">
        <v>48</v>
      </c>
      <c r="H172" s="40">
        <v>3500</v>
      </c>
      <c r="I172" s="40" t="s">
        <v>1060</v>
      </c>
      <c r="J172" s="40" t="s">
        <v>88</v>
      </c>
      <c r="K172" s="40" t="s">
        <v>413</v>
      </c>
    </row>
    <row r="173" spans="1:11" x14ac:dyDescent="0.25">
      <c r="A173" s="40" t="s">
        <v>1262</v>
      </c>
      <c r="B173" s="40" t="s">
        <v>7</v>
      </c>
      <c r="C173" s="40" t="s">
        <v>506</v>
      </c>
      <c r="E173" s="40" t="s">
        <v>818</v>
      </c>
      <c r="F173" s="40">
        <v>9.4000004359653992</v>
      </c>
      <c r="G173" s="40">
        <v>14</v>
      </c>
      <c r="H173" s="40">
        <v>3500</v>
      </c>
      <c r="I173" s="40" t="s">
        <v>1071</v>
      </c>
      <c r="J173" s="40" t="s">
        <v>445</v>
      </c>
      <c r="K173" s="40" t="s">
        <v>426</v>
      </c>
    </row>
    <row r="174" spans="1:11" x14ac:dyDescent="0.25">
      <c r="A174" s="40" t="s">
        <v>1263</v>
      </c>
      <c r="B174" s="40" t="s">
        <v>6</v>
      </c>
      <c r="C174" s="40" t="s">
        <v>820</v>
      </c>
      <c r="E174" s="40" t="s">
        <v>821</v>
      </c>
      <c r="F174" s="40">
        <v>11.366666521344801</v>
      </c>
      <c r="G174" s="40">
        <v>21</v>
      </c>
      <c r="H174" s="40">
        <v>3500</v>
      </c>
      <c r="I174" s="40" t="s">
        <v>1060</v>
      </c>
      <c r="J174" s="40" t="s">
        <v>413</v>
      </c>
      <c r="K174" s="40" t="s">
        <v>88</v>
      </c>
    </row>
    <row r="175" spans="1:11" x14ac:dyDescent="0.25">
      <c r="A175" s="40" t="s">
        <v>1264</v>
      </c>
      <c r="B175" s="40" t="s">
        <v>4</v>
      </c>
      <c r="C175" s="40" t="s">
        <v>145</v>
      </c>
      <c r="E175" s="40" t="s">
        <v>146</v>
      </c>
      <c r="F175" s="40">
        <v>11.843137254901899</v>
      </c>
      <c r="G175" s="40">
        <v>51</v>
      </c>
      <c r="H175" s="40">
        <v>3500</v>
      </c>
      <c r="I175" s="40" t="s">
        <v>1060</v>
      </c>
      <c r="J175" s="40" t="s">
        <v>88</v>
      </c>
      <c r="K175" s="40" t="s">
        <v>413</v>
      </c>
    </row>
    <row r="176" spans="1:11" x14ac:dyDescent="0.25">
      <c r="A176" s="40" t="s">
        <v>1265</v>
      </c>
      <c r="B176" s="40" t="s">
        <v>4</v>
      </c>
      <c r="C176" s="40" t="s">
        <v>823</v>
      </c>
      <c r="E176" s="40" t="s">
        <v>411</v>
      </c>
      <c r="F176" s="40">
        <v>5.3679998779296803</v>
      </c>
      <c r="G176" s="40">
        <v>25</v>
      </c>
      <c r="H176" s="40">
        <v>3500</v>
      </c>
      <c r="I176" s="40" t="s">
        <v>1067</v>
      </c>
      <c r="J176" s="40" t="s">
        <v>414</v>
      </c>
      <c r="K176" s="40" t="s">
        <v>407</v>
      </c>
    </row>
    <row r="177" spans="1:13" x14ac:dyDescent="0.25">
      <c r="A177" s="40" t="s">
        <v>1266</v>
      </c>
      <c r="B177" s="40" t="s">
        <v>4</v>
      </c>
      <c r="C177" s="40" t="s">
        <v>825</v>
      </c>
      <c r="E177" s="40" t="s">
        <v>826</v>
      </c>
      <c r="F177" s="40">
        <v>5.6</v>
      </c>
      <c r="G177" s="40">
        <v>25</v>
      </c>
      <c r="H177" s="40">
        <v>3500</v>
      </c>
      <c r="I177" s="40" t="s">
        <v>1067</v>
      </c>
      <c r="J177" s="40" t="s">
        <v>407</v>
      </c>
      <c r="K177" s="40" t="s">
        <v>414</v>
      </c>
    </row>
    <row r="178" spans="1:13" x14ac:dyDescent="0.25">
      <c r="A178" s="40" t="s">
        <v>1267</v>
      </c>
      <c r="B178" s="40" t="s">
        <v>4</v>
      </c>
      <c r="C178" s="40" t="s">
        <v>449</v>
      </c>
      <c r="E178" s="40" t="s">
        <v>621</v>
      </c>
      <c r="F178" s="40">
        <v>4.8000001173753004</v>
      </c>
      <c r="G178" s="40">
        <v>13</v>
      </c>
      <c r="H178" s="40">
        <v>3500</v>
      </c>
      <c r="I178" s="40" t="s">
        <v>1079</v>
      </c>
      <c r="J178" s="40" t="s">
        <v>419</v>
      </c>
      <c r="K178" s="40" t="s">
        <v>404</v>
      </c>
    </row>
    <row r="179" spans="1:13" x14ac:dyDescent="0.25">
      <c r="A179" s="40" t="s">
        <v>1268</v>
      </c>
      <c r="B179" s="40" t="s">
        <v>3</v>
      </c>
      <c r="C179" s="40" t="s">
        <v>388</v>
      </c>
      <c r="E179" s="40" t="s">
        <v>578</v>
      </c>
      <c r="F179" s="40">
        <v>5.7757577607125903</v>
      </c>
      <c r="G179" s="40">
        <v>33</v>
      </c>
      <c r="H179" s="40">
        <v>3500</v>
      </c>
      <c r="I179" s="40" t="s">
        <v>1075</v>
      </c>
      <c r="J179" s="40" t="s">
        <v>436</v>
      </c>
      <c r="K179" s="40" t="s">
        <v>1076</v>
      </c>
    </row>
    <row r="180" spans="1:13" x14ac:dyDescent="0.25">
      <c r="A180" s="40" t="s">
        <v>1269</v>
      </c>
      <c r="B180" s="40" t="s">
        <v>4</v>
      </c>
      <c r="C180" s="40" t="s">
        <v>622</v>
      </c>
      <c r="E180" s="40" t="s">
        <v>623</v>
      </c>
      <c r="F180" s="40">
        <v>8.5444446139865402</v>
      </c>
      <c r="G180" s="40">
        <v>18</v>
      </c>
      <c r="H180" s="40">
        <v>3500</v>
      </c>
      <c r="I180" s="40" t="s">
        <v>1079</v>
      </c>
      <c r="J180" s="40" t="s">
        <v>419</v>
      </c>
      <c r="K180" s="40" t="s">
        <v>404</v>
      </c>
      <c r="L180" s="40" t="s">
        <v>48</v>
      </c>
      <c r="M180" s="40" t="s">
        <v>63</v>
      </c>
    </row>
    <row r="181" spans="1:13" x14ac:dyDescent="0.25">
      <c r="A181" s="40" t="s">
        <v>1270</v>
      </c>
      <c r="B181" s="40" t="s">
        <v>7</v>
      </c>
      <c r="C181" s="40" t="s">
        <v>588</v>
      </c>
      <c r="E181" s="40" t="s">
        <v>589</v>
      </c>
      <c r="F181" s="40">
        <v>13.9773582602446</v>
      </c>
      <c r="G181" s="40">
        <v>53</v>
      </c>
      <c r="H181" s="40">
        <v>3500</v>
      </c>
      <c r="I181" s="40" t="s">
        <v>1060</v>
      </c>
      <c r="J181" s="40" t="s">
        <v>413</v>
      </c>
      <c r="K181" s="40" t="s">
        <v>88</v>
      </c>
    </row>
    <row r="182" spans="1:13" x14ac:dyDescent="0.25">
      <c r="A182" s="40" t="s">
        <v>1271</v>
      </c>
      <c r="B182" s="40" t="s">
        <v>5</v>
      </c>
      <c r="C182" s="40" t="s">
        <v>393</v>
      </c>
      <c r="E182" s="40" t="s">
        <v>394</v>
      </c>
      <c r="F182" s="40">
        <v>2.1666666666666599</v>
      </c>
      <c r="G182" s="40">
        <v>21</v>
      </c>
      <c r="H182" s="40">
        <v>3500</v>
      </c>
      <c r="I182" s="40" t="s">
        <v>1064</v>
      </c>
      <c r="J182" s="40" t="s">
        <v>354</v>
      </c>
      <c r="K182" s="40" t="s">
        <v>1065</v>
      </c>
    </row>
    <row r="183" spans="1:13" x14ac:dyDescent="0.25">
      <c r="A183" s="40" t="s">
        <v>1272</v>
      </c>
      <c r="B183" s="40" t="s">
        <v>6</v>
      </c>
      <c r="C183" s="40" t="s">
        <v>451</v>
      </c>
      <c r="E183" s="40" t="s">
        <v>72</v>
      </c>
      <c r="F183" s="40">
        <v>3</v>
      </c>
      <c r="G183" s="40">
        <v>4</v>
      </c>
      <c r="H183" s="40">
        <v>3500</v>
      </c>
      <c r="I183" s="40" t="s">
        <v>1067</v>
      </c>
      <c r="J183" s="40" t="s">
        <v>407</v>
      </c>
      <c r="K183" s="40" t="s">
        <v>414</v>
      </c>
    </row>
    <row r="184" spans="1:13" x14ac:dyDescent="0.25">
      <c r="A184" s="40" t="s">
        <v>1273</v>
      </c>
      <c r="B184" s="40" t="s">
        <v>3</v>
      </c>
      <c r="C184" s="40" t="s">
        <v>111</v>
      </c>
      <c r="E184" s="40" t="s">
        <v>624</v>
      </c>
      <c r="F184" s="40">
        <v>8.4208335876464808</v>
      </c>
      <c r="G184" s="40">
        <v>24</v>
      </c>
      <c r="H184" s="40">
        <v>3500</v>
      </c>
      <c r="I184" s="40" t="s">
        <v>1067</v>
      </c>
      <c r="J184" s="40" t="s">
        <v>414</v>
      </c>
      <c r="K184" s="40" t="s">
        <v>407</v>
      </c>
    </row>
    <row r="185" spans="1:13" x14ac:dyDescent="0.25">
      <c r="A185" s="40" t="s">
        <v>1274</v>
      </c>
      <c r="B185" s="40" t="s">
        <v>3</v>
      </c>
      <c r="C185" s="40" t="s">
        <v>625</v>
      </c>
      <c r="E185" s="40" t="s">
        <v>570</v>
      </c>
      <c r="F185" s="40">
        <v>6.0310342722925601</v>
      </c>
      <c r="G185" s="40">
        <v>29</v>
      </c>
      <c r="H185" s="40">
        <v>3500</v>
      </c>
      <c r="I185" s="40" t="s">
        <v>1071</v>
      </c>
      <c r="J185" s="40" t="s">
        <v>426</v>
      </c>
      <c r="K185" s="40" t="s">
        <v>445</v>
      </c>
    </row>
    <row r="186" spans="1:13" x14ac:dyDescent="0.25">
      <c r="A186" s="40" t="s">
        <v>1275</v>
      </c>
      <c r="B186" s="40" t="s">
        <v>6</v>
      </c>
      <c r="C186" s="40" t="s">
        <v>626</v>
      </c>
      <c r="E186" s="40" t="s">
        <v>627</v>
      </c>
      <c r="F186" s="40">
        <v>11.9777781168619</v>
      </c>
      <c r="G186" s="40">
        <v>36</v>
      </c>
      <c r="H186" s="40">
        <v>3500</v>
      </c>
      <c r="I186" s="40" t="s">
        <v>1056</v>
      </c>
      <c r="J186" s="40" t="s">
        <v>430</v>
      </c>
      <c r="K186" s="40" t="s">
        <v>86</v>
      </c>
      <c r="L186" s="40" t="s">
        <v>48</v>
      </c>
      <c r="M186" s="40" t="s">
        <v>530</v>
      </c>
    </row>
    <row r="187" spans="1:13" x14ac:dyDescent="0.25">
      <c r="A187" s="40" t="s">
        <v>1276</v>
      </c>
      <c r="B187" s="40" t="s">
        <v>6</v>
      </c>
      <c r="C187" s="40" t="s">
        <v>590</v>
      </c>
      <c r="E187" s="40" t="s">
        <v>52</v>
      </c>
      <c r="F187" s="40">
        <v>7.0550003051757804</v>
      </c>
      <c r="G187" s="40">
        <v>20</v>
      </c>
      <c r="H187" s="40">
        <v>3500</v>
      </c>
      <c r="I187" s="40" t="s">
        <v>1075</v>
      </c>
      <c r="J187" s="40" t="s">
        <v>436</v>
      </c>
      <c r="K187" s="40" t="s">
        <v>1076</v>
      </c>
    </row>
    <row r="188" spans="1:13" x14ac:dyDescent="0.25">
      <c r="A188" s="40" t="s">
        <v>1277</v>
      </c>
      <c r="B188" s="40" t="s">
        <v>6</v>
      </c>
      <c r="C188" s="40" t="s">
        <v>628</v>
      </c>
      <c r="E188" s="40" t="s">
        <v>629</v>
      </c>
      <c r="F188" s="40">
        <v>10.6299997965494</v>
      </c>
      <c r="G188" s="40">
        <v>30</v>
      </c>
      <c r="H188" s="40">
        <v>3500</v>
      </c>
      <c r="I188" s="40" t="s">
        <v>1060</v>
      </c>
      <c r="J188" s="40" t="s">
        <v>413</v>
      </c>
      <c r="K188" s="40" t="s">
        <v>88</v>
      </c>
    </row>
    <row r="189" spans="1:13" x14ac:dyDescent="0.25">
      <c r="A189" s="40" t="s">
        <v>1278</v>
      </c>
      <c r="B189" s="40" t="s">
        <v>6</v>
      </c>
      <c r="C189" s="40" t="s">
        <v>156</v>
      </c>
      <c r="E189" s="40" t="s">
        <v>157</v>
      </c>
      <c r="F189" s="40">
        <v>15.046154315655</v>
      </c>
      <c r="G189" s="40">
        <v>52</v>
      </c>
      <c r="H189" s="40">
        <v>3500</v>
      </c>
      <c r="I189" s="40" t="s">
        <v>1058</v>
      </c>
      <c r="J189" s="40" t="s">
        <v>87</v>
      </c>
      <c r="K189" s="40" t="s">
        <v>418</v>
      </c>
    </row>
    <row r="190" spans="1:13" x14ac:dyDescent="0.25">
      <c r="A190" s="40" t="s">
        <v>1279</v>
      </c>
      <c r="B190" s="40" t="s">
        <v>7</v>
      </c>
      <c r="C190" s="40" t="s">
        <v>159</v>
      </c>
      <c r="E190" s="40" t="s">
        <v>91</v>
      </c>
      <c r="F190" s="40">
        <v>5.15555572509765</v>
      </c>
      <c r="G190" s="40">
        <v>18</v>
      </c>
      <c r="H190" s="40">
        <v>3500</v>
      </c>
      <c r="I190" s="40" t="s">
        <v>1056</v>
      </c>
      <c r="J190" s="40" t="s">
        <v>86</v>
      </c>
      <c r="K190" s="40" t="s">
        <v>430</v>
      </c>
    </row>
    <row r="191" spans="1:13" x14ac:dyDescent="0.25">
      <c r="A191" s="40" t="s">
        <v>1280</v>
      </c>
      <c r="B191" s="40" t="s">
        <v>4</v>
      </c>
      <c r="C191" s="40" t="s">
        <v>535</v>
      </c>
      <c r="E191" s="40" t="s">
        <v>842</v>
      </c>
      <c r="F191" s="40">
        <v>4.9315787867495802</v>
      </c>
      <c r="G191" s="40">
        <v>19</v>
      </c>
      <c r="H191" s="40">
        <v>3500</v>
      </c>
      <c r="I191" s="40" t="s">
        <v>1069</v>
      </c>
      <c r="J191" s="40" t="s">
        <v>401</v>
      </c>
      <c r="K191" s="40" t="s">
        <v>410</v>
      </c>
    </row>
    <row r="192" spans="1:13" x14ac:dyDescent="0.25">
      <c r="A192" s="40" t="s">
        <v>1281</v>
      </c>
      <c r="B192" s="40" t="s">
        <v>4</v>
      </c>
      <c r="C192" s="40" t="s">
        <v>632</v>
      </c>
      <c r="E192" s="40" t="s">
        <v>633</v>
      </c>
      <c r="F192" s="40">
        <v>7.2078945762232696</v>
      </c>
      <c r="G192" s="40">
        <v>38</v>
      </c>
      <c r="H192" s="40">
        <v>3500</v>
      </c>
      <c r="I192" s="40" t="s">
        <v>1075</v>
      </c>
      <c r="J192" s="40" t="s">
        <v>436</v>
      </c>
      <c r="K192" s="40" t="s">
        <v>1076</v>
      </c>
      <c r="L192" s="40" t="s">
        <v>48</v>
      </c>
      <c r="M192" s="40" t="s">
        <v>63</v>
      </c>
    </row>
    <row r="193" spans="1:13" x14ac:dyDescent="0.25">
      <c r="A193" s="40" t="s">
        <v>1282</v>
      </c>
      <c r="B193" s="40" t="s">
        <v>5</v>
      </c>
      <c r="C193" s="40" t="s">
        <v>64</v>
      </c>
      <c r="E193" s="40" t="s">
        <v>534</v>
      </c>
      <c r="F193" s="40">
        <v>9.3638299170960693</v>
      </c>
      <c r="G193" s="40">
        <v>47</v>
      </c>
      <c r="H193" s="40">
        <v>3500</v>
      </c>
      <c r="I193" s="40" t="s">
        <v>1071</v>
      </c>
      <c r="J193" s="40" t="s">
        <v>426</v>
      </c>
      <c r="K193" s="40" t="s">
        <v>445</v>
      </c>
    </row>
    <row r="194" spans="1:13" x14ac:dyDescent="0.25">
      <c r="A194" s="40" t="s">
        <v>1283</v>
      </c>
      <c r="B194" s="40" t="s">
        <v>6</v>
      </c>
      <c r="C194" s="40" t="s">
        <v>160</v>
      </c>
      <c r="E194" s="40" t="s">
        <v>161</v>
      </c>
      <c r="F194" s="40">
        <v>0.73333334922790505</v>
      </c>
      <c r="G194" s="40">
        <v>3</v>
      </c>
      <c r="H194" s="40">
        <v>3500</v>
      </c>
      <c r="I194" s="40" t="s">
        <v>1056</v>
      </c>
      <c r="J194" s="40" t="s">
        <v>86</v>
      </c>
      <c r="K194" s="40" t="s">
        <v>430</v>
      </c>
    </row>
    <row r="195" spans="1:13" x14ac:dyDescent="0.25">
      <c r="A195" s="40" t="s">
        <v>1284</v>
      </c>
      <c r="B195" s="40" t="s">
        <v>4</v>
      </c>
      <c r="C195" s="40" t="s">
        <v>637</v>
      </c>
      <c r="E195" s="40" t="s">
        <v>638</v>
      </c>
      <c r="F195" s="40">
        <v>5.3999997652493903</v>
      </c>
      <c r="G195" s="40">
        <v>26</v>
      </c>
      <c r="H195" s="40">
        <v>3500</v>
      </c>
      <c r="I195" s="40" t="s">
        <v>1058</v>
      </c>
      <c r="J195" s="40" t="s">
        <v>418</v>
      </c>
      <c r="K195" s="40" t="s">
        <v>87</v>
      </c>
    </row>
    <row r="196" spans="1:13" x14ac:dyDescent="0.25">
      <c r="A196" s="40" t="s">
        <v>1285</v>
      </c>
      <c r="B196" s="40" t="s">
        <v>5</v>
      </c>
      <c r="C196" s="40" t="s">
        <v>726</v>
      </c>
      <c r="E196" s="40" t="s">
        <v>52</v>
      </c>
      <c r="F196" s="40">
        <v>10.3041667938232</v>
      </c>
      <c r="G196" s="40">
        <v>24</v>
      </c>
      <c r="H196" s="40">
        <v>3500</v>
      </c>
      <c r="I196" s="40" t="s">
        <v>1067</v>
      </c>
      <c r="J196" s="40" t="s">
        <v>414</v>
      </c>
      <c r="K196" s="40" t="s">
        <v>407</v>
      </c>
    </row>
    <row r="197" spans="1:13" x14ac:dyDescent="0.25">
      <c r="A197" s="40" t="s">
        <v>1286</v>
      </c>
      <c r="B197" s="40" t="s">
        <v>5</v>
      </c>
      <c r="C197" s="40" t="s">
        <v>847</v>
      </c>
      <c r="E197" s="40" t="s">
        <v>848</v>
      </c>
      <c r="F197" s="40">
        <v>1.07500004768371</v>
      </c>
      <c r="G197" s="40">
        <v>8</v>
      </c>
      <c r="H197" s="40">
        <v>3500</v>
      </c>
      <c r="I197" s="40" t="s">
        <v>1058</v>
      </c>
      <c r="J197" s="40" t="s">
        <v>418</v>
      </c>
      <c r="K197" s="40" t="s">
        <v>87</v>
      </c>
    </row>
    <row r="198" spans="1:13" x14ac:dyDescent="0.25">
      <c r="A198" s="40" t="s">
        <v>1287</v>
      </c>
      <c r="B198" s="40" t="s">
        <v>4</v>
      </c>
      <c r="C198" s="40" t="s">
        <v>563</v>
      </c>
      <c r="E198" s="40" t="s">
        <v>501</v>
      </c>
      <c r="F198" s="40">
        <v>8.5222218831380196</v>
      </c>
      <c r="G198" s="40">
        <v>36</v>
      </c>
      <c r="H198" s="40">
        <v>3500</v>
      </c>
      <c r="I198" s="40" t="s">
        <v>1069</v>
      </c>
      <c r="J198" s="40" t="s">
        <v>410</v>
      </c>
      <c r="K198" s="40" t="s">
        <v>401</v>
      </c>
    </row>
    <row r="199" spans="1:13" x14ac:dyDescent="0.25">
      <c r="A199" s="40" t="s">
        <v>1288</v>
      </c>
      <c r="B199" s="40" t="s">
        <v>3</v>
      </c>
      <c r="C199" s="40" t="s">
        <v>61</v>
      </c>
      <c r="E199" s="40" t="s">
        <v>491</v>
      </c>
      <c r="F199" s="40">
        <v>14.3730773925781</v>
      </c>
      <c r="G199" s="40">
        <v>52</v>
      </c>
      <c r="H199" s="40">
        <v>3500</v>
      </c>
      <c r="I199" s="40" t="s">
        <v>1067</v>
      </c>
      <c r="J199" s="40" t="s">
        <v>414</v>
      </c>
      <c r="K199" s="40" t="s">
        <v>407</v>
      </c>
    </row>
    <row r="200" spans="1:13" x14ac:dyDescent="0.25">
      <c r="A200" s="40" t="s">
        <v>1289</v>
      </c>
      <c r="B200" s="40" t="s">
        <v>4</v>
      </c>
      <c r="C200" s="40" t="s">
        <v>77</v>
      </c>
      <c r="E200" s="40" t="s">
        <v>1290</v>
      </c>
      <c r="F200" s="40">
        <v>8.6314287458147305</v>
      </c>
      <c r="G200" s="40">
        <v>35</v>
      </c>
      <c r="H200" s="40">
        <v>3500</v>
      </c>
      <c r="I200" s="40" t="s">
        <v>1075</v>
      </c>
      <c r="J200" s="40" t="s">
        <v>1076</v>
      </c>
      <c r="K200" s="40" t="s">
        <v>436</v>
      </c>
    </row>
    <row r="201" spans="1:13" x14ac:dyDescent="0.25">
      <c r="A201" s="40" t="s">
        <v>1291</v>
      </c>
      <c r="B201" s="40" t="s">
        <v>5</v>
      </c>
      <c r="C201" s="40" t="s">
        <v>853</v>
      </c>
      <c r="E201" s="40" t="s">
        <v>854</v>
      </c>
      <c r="F201" s="40">
        <v>10.442552931765199</v>
      </c>
      <c r="G201" s="40">
        <v>47</v>
      </c>
      <c r="H201" s="40">
        <v>3500</v>
      </c>
      <c r="I201" s="40" t="s">
        <v>1069</v>
      </c>
      <c r="J201" s="40" t="s">
        <v>401</v>
      </c>
      <c r="K201" s="40" t="s">
        <v>410</v>
      </c>
    </row>
    <row r="202" spans="1:13" x14ac:dyDescent="0.25">
      <c r="A202" s="40" t="s">
        <v>1292</v>
      </c>
      <c r="B202" s="40" t="s">
        <v>5</v>
      </c>
      <c r="C202" s="40" t="s">
        <v>89</v>
      </c>
      <c r="E202" s="40" t="s">
        <v>1293</v>
      </c>
      <c r="F202" s="40">
        <v>7.8434779954993203</v>
      </c>
      <c r="G202" s="40">
        <v>23</v>
      </c>
      <c r="H202" s="40">
        <v>3500</v>
      </c>
      <c r="I202" s="40" t="s">
        <v>1075</v>
      </c>
      <c r="J202" s="40" t="s">
        <v>1076</v>
      </c>
      <c r="K202" s="40" t="s">
        <v>436</v>
      </c>
      <c r="L202" s="40" t="s">
        <v>53</v>
      </c>
      <c r="M202" s="40" t="s">
        <v>63</v>
      </c>
    </row>
    <row r="203" spans="1:13" x14ac:dyDescent="0.25">
      <c r="A203" s="40" t="s">
        <v>1294</v>
      </c>
      <c r="B203" s="40" t="s">
        <v>3</v>
      </c>
      <c r="C203" s="40" t="s">
        <v>531</v>
      </c>
      <c r="E203" s="40" t="s">
        <v>591</v>
      </c>
      <c r="F203" s="40">
        <v>13.840000406901</v>
      </c>
      <c r="G203" s="40">
        <v>30</v>
      </c>
      <c r="H203" s="40">
        <v>3500</v>
      </c>
      <c r="I203" s="40" t="s">
        <v>1079</v>
      </c>
      <c r="J203" s="40" t="s">
        <v>419</v>
      </c>
      <c r="K203" s="40" t="s">
        <v>404</v>
      </c>
    </row>
    <row r="204" spans="1:13" x14ac:dyDescent="0.25">
      <c r="A204" s="40" t="s">
        <v>1295</v>
      </c>
      <c r="B204" s="40" t="s">
        <v>4</v>
      </c>
      <c r="C204" s="40" t="s">
        <v>651</v>
      </c>
      <c r="E204" s="40" t="s">
        <v>652</v>
      </c>
      <c r="F204" s="40">
        <v>11.175000190734799</v>
      </c>
      <c r="G204" s="40">
        <v>16</v>
      </c>
      <c r="H204" s="40">
        <v>3500</v>
      </c>
      <c r="I204" s="40" t="s">
        <v>1060</v>
      </c>
      <c r="J204" s="40" t="s">
        <v>413</v>
      </c>
      <c r="K204" s="40" t="s">
        <v>88</v>
      </c>
    </row>
    <row r="205" spans="1:13" x14ac:dyDescent="0.25">
      <c r="A205" s="40" t="s">
        <v>1296</v>
      </c>
      <c r="B205" s="40" t="s">
        <v>4</v>
      </c>
      <c r="C205" s="40" t="s">
        <v>1297</v>
      </c>
      <c r="E205" s="40" t="s">
        <v>1298</v>
      </c>
      <c r="F205" s="40">
        <v>2.6153846153846101</v>
      </c>
      <c r="G205" s="40">
        <v>13</v>
      </c>
      <c r="H205" s="40">
        <v>3500</v>
      </c>
      <c r="I205" s="40" t="s">
        <v>1064</v>
      </c>
      <c r="J205" s="40" t="s">
        <v>1065</v>
      </c>
      <c r="K205" s="40" t="s">
        <v>354</v>
      </c>
    </row>
    <row r="206" spans="1:13" x14ac:dyDescent="0.25">
      <c r="A206" s="40" t="s">
        <v>1299</v>
      </c>
      <c r="B206" s="40" t="s">
        <v>3</v>
      </c>
      <c r="C206" s="40" t="s">
        <v>666</v>
      </c>
      <c r="E206" s="40" t="s">
        <v>667</v>
      </c>
      <c r="F206" s="40">
        <v>7.2423078096829903</v>
      </c>
      <c r="G206" s="40">
        <v>26</v>
      </c>
      <c r="H206" s="40">
        <v>3500</v>
      </c>
      <c r="I206" s="40" t="s">
        <v>1069</v>
      </c>
      <c r="J206" s="40" t="s">
        <v>401</v>
      </c>
      <c r="K206" s="40" t="s">
        <v>410</v>
      </c>
    </row>
    <row r="207" spans="1:13" x14ac:dyDescent="0.25">
      <c r="A207" s="40" t="s">
        <v>1300</v>
      </c>
      <c r="B207" s="40" t="s">
        <v>6</v>
      </c>
      <c r="C207" s="40" t="s">
        <v>609</v>
      </c>
      <c r="E207" s="40" t="s">
        <v>113</v>
      </c>
      <c r="F207" s="40">
        <v>11.2400001525878</v>
      </c>
      <c r="G207" s="40">
        <v>5</v>
      </c>
      <c r="H207" s="40">
        <v>3500</v>
      </c>
      <c r="I207" s="40" t="s">
        <v>1067</v>
      </c>
      <c r="J207" s="40" t="s">
        <v>414</v>
      </c>
      <c r="K207" s="40" t="s">
        <v>407</v>
      </c>
    </row>
    <row r="208" spans="1:13" x14ac:dyDescent="0.25">
      <c r="A208" s="40" t="s">
        <v>1301</v>
      </c>
      <c r="B208" s="40" t="s">
        <v>5</v>
      </c>
      <c r="C208" s="40" t="s">
        <v>411</v>
      </c>
      <c r="E208" s="40" t="s">
        <v>674</v>
      </c>
      <c r="F208" s="40">
        <v>8.2204548228870706</v>
      </c>
      <c r="G208" s="40">
        <v>44</v>
      </c>
      <c r="H208" s="40">
        <v>3500</v>
      </c>
      <c r="I208" s="40" t="s">
        <v>1071</v>
      </c>
      <c r="J208" s="40" t="s">
        <v>426</v>
      </c>
      <c r="K208" s="40" t="s">
        <v>445</v>
      </c>
    </row>
    <row r="209" spans="1:13" x14ac:dyDescent="0.25">
      <c r="A209" s="40" t="s">
        <v>1302</v>
      </c>
      <c r="B209" s="40" t="s">
        <v>7</v>
      </c>
      <c r="C209" s="40" t="s">
        <v>1303</v>
      </c>
      <c r="E209" s="40" t="s">
        <v>1304</v>
      </c>
      <c r="F209" s="40">
        <v>0.40000001589457101</v>
      </c>
      <c r="G209" s="40">
        <v>3</v>
      </c>
      <c r="H209" s="40">
        <v>3500</v>
      </c>
      <c r="I209" s="40" t="s">
        <v>1075</v>
      </c>
      <c r="J209" s="40" t="s">
        <v>1076</v>
      </c>
      <c r="K209" s="40" t="s">
        <v>436</v>
      </c>
    </row>
    <row r="210" spans="1:13" x14ac:dyDescent="0.25">
      <c r="A210" s="40" t="s">
        <v>1305</v>
      </c>
      <c r="B210" s="40" t="s">
        <v>4</v>
      </c>
      <c r="C210" s="40" t="s">
        <v>676</v>
      </c>
      <c r="E210" s="40" t="s">
        <v>677</v>
      </c>
      <c r="F210" s="40">
        <v>7.7564102564102502</v>
      </c>
      <c r="G210" s="40">
        <v>39</v>
      </c>
      <c r="H210" s="40">
        <v>3500</v>
      </c>
      <c r="I210" s="40" t="s">
        <v>1067</v>
      </c>
      <c r="J210" s="40" t="s">
        <v>407</v>
      </c>
      <c r="K210" s="40" t="s">
        <v>414</v>
      </c>
    </row>
    <row r="211" spans="1:13" x14ac:dyDescent="0.25">
      <c r="A211" s="40" t="s">
        <v>1306</v>
      </c>
      <c r="B211" s="40" t="s">
        <v>3</v>
      </c>
      <c r="C211" s="40" t="s">
        <v>861</v>
      </c>
      <c r="E211" s="40" t="s">
        <v>862</v>
      </c>
      <c r="F211" s="40">
        <v>17.317647298177</v>
      </c>
      <c r="G211" s="40">
        <v>51</v>
      </c>
      <c r="H211" s="40">
        <v>3500</v>
      </c>
      <c r="I211" s="40" t="s">
        <v>1071</v>
      </c>
      <c r="J211" s="40" t="s">
        <v>426</v>
      </c>
      <c r="K211" s="40" t="s">
        <v>445</v>
      </c>
    </row>
    <row r="212" spans="1:13" x14ac:dyDescent="0.25">
      <c r="A212" s="40" t="s">
        <v>1307</v>
      </c>
      <c r="B212" s="40" t="s">
        <v>5</v>
      </c>
      <c r="C212" s="40" t="s">
        <v>586</v>
      </c>
      <c r="E212" s="40" t="s">
        <v>587</v>
      </c>
      <c r="F212" s="40">
        <v>13.4925003051757</v>
      </c>
      <c r="G212" s="40">
        <v>40</v>
      </c>
      <c r="H212" s="40">
        <v>3500</v>
      </c>
      <c r="I212" s="40" t="s">
        <v>1060</v>
      </c>
      <c r="J212" s="40" t="s">
        <v>413</v>
      </c>
      <c r="K212" s="40" t="s">
        <v>88</v>
      </c>
    </row>
    <row r="213" spans="1:13" x14ac:dyDescent="0.25">
      <c r="A213" s="40" t="s">
        <v>1308</v>
      </c>
      <c r="B213" s="40" t="s">
        <v>7</v>
      </c>
      <c r="C213" s="40" t="s">
        <v>864</v>
      </c>
      <c r="E213" s="40" t="s">
        <v>98</v>
      </c>
      <c r="F213" s="40">
        <v>2.9333333969116202</v>
      </c>
      <c r="G213" s="40">
        <v>3</v>
      </c>
      <c r="H213" s="40">
        <v>3500</v>
      </c>
      <c r="I213" s="40" t="s">
        <v>1056</v>
      </c>
      <c r="J213" s="40" t="s">
        <v>430</v>
      </c>
      <c r="K213" s="40" t="s">
        <v>86</v>
      </c>
    </row>
    <row r="214" spans="1:13" x14ac:dyDescent="0.25">
      <c r="A214" s="40" t="s">
        <v>1309</v>
      </c>
      <c r="B214" s="40" t="s">
        <v>7</v>
      </c>
      <c r="C214" s="40" t="s">
        <v>57</v>
      </c>
      <c r="E214" s="40" t="s">
        <v>680</v>
      </c>
      <c r="F214" s="40">
        <v>1.1777778201633</v>
      </c>
      <c r="G214" s="40">
        <v>9</v>
      </c>
      <c r="H214" s="40">
        <v>3500</v>
      </c>
      <c r="I214" s="40" t="s">
        <v>1071</v>
      </c>
      <c r="J214" s="40" t="s">
        <v>445</v>
      </c>
      <c r="K214" s="40" t="s">
        <v>426</v>
      </c>
    </row>
    <row r="215" spans="1:13" x14ac:dyDescent="0.25">
      <c r="A215" s="40" t="s">
        <v>1310</v>
      </c>
      <c r="B215" s="40" t="s">
        <v>7</v>
      </c>
      <c r="C215" s="40" t="s">
        <v>364</v>
      </c>
      <c r="E215" s="40" t="s">
        <v>1311</v>
      </c>
      <c r="F215" s="40">
        <v>11.7939397638494</v>
      </c>
      <c r="G215" s="40">
        <v>33</v>
      </c>
      <c r="H215" s="40">
        <v>3500</v>
      </c>
      <c r="I215" s="40" t="s">
        <v>1064</v>
      </c>
      <c r="J215" s="40" t="s">
        <v>1065</v>
      </c>
      <c r="K215" s="40" t="s">
        <v>354</v>
      </c>
    </row>
    <row r="216" spans="1:13" x14ac:dyDescent="0.25">
      <c r="A216" s="40" t="s">
        <v>1312</v>
      </c>
      <c r="B216" s="40" t="s">
        <v>5</v>
      </c>
      <c r="C216" s="40" t="s">
        <v>533</v>
      </c>
      <c r="E216" s="40" t="s">
        <v>366</v>
      </c>
      <c r="F216" s="40">
        <v>4.3888888888888804</v>
      </c>
      <c r="G216" s="40">
        <v>9</v>
      </c>
      <c r="H216" s="40">
        <v>3500</v>
      </c>
      <c r="I216" s="40" t="s">
        <v>1056</v>
      </c>
      <c r="J216" s="40" t="s">
        <v>430</v>
      </c>
      <c r="K216" s="40" t="s">
        <v>86</v>
      </c>
    </row>
    <row r="217" spans="1:13" x14ac:dyDescent="0.25">
      <c r="A217" s="40" t="s">
        <v>1313</v>
      </c>
      <c r="B217" s="40" t="s">
        <v>6</v>
      </c>
      <c r="C217" s="40" t="s">
        <v>686</v>
      </c>
      <c r="E217" s="40" t="s">
        <v>494</v>
      </c>
      <c r="F217" s="40">
        <v>4.6750001907348597</v>
      </c>
      <c r="G217" s="40">
        <v>8</v>
      </c>
      <c r="H217" s="40">
        <v>3500</v>
      </c>
      <c r="I217" s="40" t="s">
        <v>1069</v>
      </c>
      <c r="J217" s="40" t="s">
        <v>401</v>
      </c>
      <c r="K217" s="40" t="s">
        <v>410</v>
      </c>
    </row>
    <row r="218" spans="1:13" x14ac:dyDescent="0.25">
      <c r="A218" s="40" t="s">
        <v>1314</v>
      </c>
      <c r="B218" s="40" t="s">
        <v>7</v>
      </c>
      <c r="C218" s="40" t="s">
        <v>689</v>
      </c>
      <c r="E218" s="40" t="s">
        <v>690</v>
      </c>
      <c r="F218" s="40">
        <v>2.1631578144274202</v>
      </c>
      <c r="G218" s="40">
        <v>19</v>
      </c>
      <c r="H218" s="40">
        <v>3500</v>
      </c>
      <c r="I218" s="40" t="s">
        <v>1071</v>
      </c>
      <c r="J218" s="40" t="s">
        <v>426</v>
      </c>
      <c r="K218" s="40" t="s">
        <v>445</v>
      </c>
    </row>
    <row r="219" spans="1:13" x14ac:dyDescent="0.25">
      <c r="A219" s="40" t="s">
        <v>1315</v>
      </c>
      <c r="B219" s="40" t="s">
        <v>5</v>
      </c>
      <c r="C219" s="40" t="s">
        <v>395</v>
      </c>
      <c r="E219" s="40" t="s">
        <v>396</v>
      </c>
      <c r="F219" s="40">
        <v>12.7459997558593</v>
      </c>
      <c r="G219" s="40">
        <v>50</v>
      </c>
      <c r="H219" s="40">
        <v>3500</v>
      </c>
      <c r="I219" s="40" t="s">
        <v>1064</v>
      </c>
      <c r="J219" s="40" t="s">
        <v>354</v>
      </c>
      <c r="K219" s="40" t="s">
        <v>1065</v>
      </c>
    </row>
    <row r="220" spans="1:13" x14ac:dyDescent="0.25">
      <c r="A220" s="40" t="s">
        <v>1316</v>
      </c>
      <c r="B220" s="40" t="s">
        <v>5</v>
      </c>
      <c r="C220" s="40" t="s">
        <v>1317</v>
      </c>
      <c r="E220" s="40" t="s">
        <v>1318</v>
      </c>
      <c r="F220" s="40">
        <v>1.20000004768371</v>
      </c>
      <c r="G220" s="40">
        <v>1</v>
      </c>
      <c r="H220" s="40">
        <v>3500</v>
      </c>
      <c r="I220" s="40" t="s">
        <v>1064</v>
      </c>
      <c r="J220" s="40" t="s">
        <v>1065</v>
      </c>
      <c r="K220" s="40" t="s">
        <v>354</v>
      </c>
      <c r="L220" s="40" t="s">
        <v>53</v>
      </c>
      <c r="M220" s="40" t="s">
        <v>90</v>
      </c>
    </row>
    <row r="221" spans="1:13" x14ac:dyDescent="0.25">
      <c r="A221" s="40" t="s">
        <v>1319</v>
      </c>
      <c r="B221" s="40" t="s">
        <v>4</v>
      </c>
      <c r="C221" s="40" t="s">
        <v>702</v>
      </c>
      <c r="E221" s="40" t="s">
        <v>703</v>
      </c>
      <c r="F221" s="40">
        <v>8.7545457319779807</v>
      </c>
      <c r="G221" s="40">
        <v>11</v>
      </c>
      <c r="H221" s="40">
        <v>3500</v>
      </c>
      <c r="I221" s="40" t="s">
        <v>1079</v>
      </c>
      <c r="J221" s="40" t="s">
        <v>404</v>
      </c>
      <c r="K221" s="40" t="s">
        <v>419</v>
      </c>
    </row>
    <row r="222" spans="1:13" x14ac:dyDescent="0.25">
      <c r="A222" s="40" t="s">
        <v>1320</v>
      </c>
      <c r="B222" s="40" t="s">
        <v>3</v>
      </c>
      <c r="C222" s="40" t="s">
        <v>707</v>
      </c>
      <c r="E222" s="40" t="s">
        <v>708</v>
      </c>
      <c r="F222" s="40">
        <v>6.1666666666666599</v>
      </c>
      <c r="G222" s="40">
        <v>3</v>
      </c>
      <c r="H222" s="40">
        <v>3500</v>
      </c>
      <c r="I222" s="40" t="s">
        <v>1060</v>
      </c>
      <c r="J222" s="40" t="s">
        <v>413</v>
      </c>
      <c r="K222" s="40" t="s">
        <v>88</v>
      </c>
    </row>
    <row r="223" spans="1:13" x14ac:dyDescent="0.25">
      <c r="A223" s="40" t="s">
        <v>1321</v>
      </c>
      <c r="B223" s="40" t="s">
        <v>6</v>
      </c>
      <c r="C223" s="40" t="s">
        <v>534</v>
      </c>
      <c r="E223" s="40" t="s">
        <v>713</v>
      </c>
      <c r="F223" s="40">
        <v>4.9571429661342004</v>
      </c>
      <c r="G223" s="40">
        <v>14</v>
      </c>
      <c r="H223" s="40">
        <v>3500</v>
      </c>
      <c r="I223" s="40" t="s">
        <v>1067</v>
      </c>
      <c r="J223" s="40" t="s">
        <v>407</v>
      </c>
      <c r="K223" s="40" t="s">
        <v>414</v>
      </c>
    </row>
    <row r="224" spans="1:13" x14ac:dyDescent="0.25">
      <c r="A224" s="40" t="s">
        <v>1322</v>
      </c>
      <c r="B224" s="40" t="s">
        <v>6</v>
      </c>
      <c r="C224" s="40" t="s">
        <v>877</v>
      </c>
      <c r="E224" s="40" t="s">
        <v>878</v>
      </c>
      <c r="F224" s="40">
        <v>3.20000004768371</v>
      </c>
      <c r="G224" s="40">
        <v>1</v>
      </c>
      <c r="H224" s="40">
        <v>3500</v>
      </c>
      <c r="I224" s="40" t="s">
        <v>1056</v>
      </c>
      <c r="J224" s="40" t="s">
        <v>430</v>
      </c>
      <c r="K224" s="40" t="s">
        <v>86</v>
      </c>
    </row>
    <row r="225" spans="1:11" x14ac:dyDescent="0.25">
      <c r="A225" s="40" t="s">
        <v>1323</v>
      </c>
      <c r="B225" s="40" t="s">
        <v>3</v>
      </c>
      <c r="C225" s="40" t="s">
        <v>377</v>
      </c>
      <c r="E225" s="40" t="s">
        <v>382</v>
      </c>
      <c r="F225" s="40">
        <v>8.3911112467447904</v>
      </c>
      <c r="G225" s="40">
        <v>45</v>
      </c>
      <c r="H225" s="40">
        <v>3500</v>
      </c>
      <c r="I225" s="40" t="s">
        <v>1058</v>
      </c>
      <c r="J225" s="40" t="s">
        <v>418</v>
      </c>
      <c r="K225" s="40" t="s">
        <v>87</v>
      </c>
    </row>
    <row r="226" spans="1:11" x14ac:dyDescent="0.25">
      <c r="A226" s="40" t="s">
        <v>1324</v>
      </c>
      <c r="B226" s="40" t="s">
        <v>4</v>
      </c>
      <c r="C226" s="40" t="s">
        <v>95</v>
      </c>
      <c r="E226" s="40" t="s">
        <v>716</v>
      </c>
      <c r="F226" s="40">
        <v>10.295237949916199</v>
      </c>
      <c r="G226" s="40">
        <v>42</v>
      </c>
      <c r="H226" s="40">
        <v>3500</v>
      </c>
      <c r="I226" s="40" t="s">
        <v>1056</v>
      </c>
      <c r="J226" s="40" t="s">
        <v>430</v>
      </c>
      <c r="K226" s="40" t="s">
        <v>86</v>
      </c>
    </row>
    <row r="227" spans="1:11" x14ac:dyDescent="0.25">
      <c r="A227" s="40" t="s">
        <v>1325</v>
      </c>
      <c r="B227" s="40" t="s">
        <v>7</v>
      </c>
      <c r="C227" s="40" t="s">
        <v>56</v>
      </c>
      <c r="E227" s="40" t="s">
        <v>593</v>
      </c>
      <c r="F227" s="40">
        <v>6.3595239548456099</v>
      </c>
      <c r="G227" s="40">
        <v>42</v>
      </c>
      <c r="H227" s="40">
        <v>3500</v>
      </c>
      <c r="I227" s="40" t="s">
        <v>1067</v>
      </c>
      <c r="J227" s="40" t="s">
        <v>407</v>
      </c>
      <c r="K227" s="40" t="s">
        <v>414</v>
      </c>
    </row>
    <row r="228" spans="1:11" x14ac:dyDescent="0.25">
      <c r="A228" s="40" t="s">
        <v>1326</v>
      </c>
      <c r="B228" s="40" t="s">
        <v>7</v>
      </c>
      <c r="C228" s="40" t="s">
        <v>99</v>
      </c>
      <c r="E228" s="40" t="s">
        <v>100</v>
      </c>
      <c r="F228" s="40">
        <v>12.191110568576301</v>
      </c>
      <c r="G228" s="40">
        <v>45</v>
      </c>
      <c r="H228" s="40">
        <v>3500</v>
      </c>
      <c r="I228" s="40" t="s">
        <v>1056</v>
      </c>
      <c r="J228" s="40" t="s">
        <v>86</v>
      </c>
      <c r="K228" s="40" t="s">
        <v>430</v>
      </c>
    </row>
    <row r="229" spans="1:11" x14ac:dyDescent="0.25">
      <c r="A229" s="40" t="s">
        <v>1327</v>
      </c>
      <c r="B229" s="40" t="s">
        <v>5</v>
      </c>
      <c r="C229" s="40" t="s">
        <v>366</v>
      </c>
      <c r="E229" s="40" t="s">
        <v>1328</v>
      </c>
      <c r="F229" s="40">
        <v>12.8519995117187</v>
      </c>
      <c r="G229" s="40">
        <v>50</v>
      </c>
      <c r="H229" s="40">
        <v>3500</v>
      </c>
      <c r="I229" s="40" t="s">
        <v>1064</v>
      </c>
      <c r="J229" s="40" t="s">
        <v>1065</v>
      </c>
      <c r="K229" s="40" t="s">
        <v>354</v>
      </c>
    </row>
    <row r="230" spans="1:11" x14ac:dyDescent="0.25">
      <c r="A230" s="40" t="s">
        <v>1329</v>
      </c>
      <c r="B230" s="40" t="s">
        <v>7</v>
      </c>
      <c r="C230" s="40" t="s">
        <v>375</v>
      </c>
      <c r="E230" s="40" t="s">
        <v>376</v>
      </c>
      <c r="F230" s="40">
        <v>13.689999389648399</v>
      </c>
      <c r="G230" s="40">
        <v>20</v>
      </c>
      <c r="H230" s="40">
        <v>3500</v>
      </c>
      <c r="I230" s="40" t="s">
        <v>1064</v>
      </c>
      <c r="J230" s="40" t="s">
        <v>354</v>
      </c>
      <c r="K230" s="40" t="s">
        <v>1065</v>
      </c>
    </row>
    <row r="231" spans="1:11" x14ac:dyDescent="0.25">
      <c r="A231" s="40" t="s">
        <v>1330</v>
      </c>
      <c r="B231" s="40" t="s">
        <v>3</v>
      </c>
      <c r="C231" s="40" t="s">
        <v>514</v>
      </c>
      <c r="E231" s="40" t="s">
        <v>880</v>
      </c>
      <c r="F231" s="40">
        <v>12.1584910266804</v>
      </c>
      <c r="G231" s="40">
        <v>53</v>
      </c>
      <c r="H231" s="40">
        <v>3500</v>
      </c>
      <c r="I231" s="40" t="s">
        <v>1056</v>
      </c>
      <c r="J231" s="40" t="s">
        <v>430</v>
      </c>
      <c r="K231" s="40" t="s">
        <v>86</v>
      </c>
    </row>
    <row r="232" spans="1:11" x14ac:dyDescent="0.25">
      <c r="A232" s="40" t="s">
        <v>1331</v>
      </c>
      <c r="B232" s="40" t="s">
        <v>6</v>
      </c>
      <c r="C232" s="40" t="s">
        <v>96</v>
      </c>
      <c r="E232" s="40" t="s">
        <v>884</v>
      </c>
      <c r="F232" s="40">
        <v>13.3386369185014</v>
      </c>
      <c r="G232" s="40">
        <v>44</v>
      </c>
      <c r="H232" s="40">
        <v>3500</v>
      </c>
      <c r="I232" s="40" t="s">
        <v>1079</v>
      </c>
      <c r="J232" s="40" t="s">
        <v>404</v>
      </c>
      <c r="K232" s="40" t="s">
        <v>419</v>
      </c>
    </row>
    <row r="233" spans="1:11" x14ac:dyDescent="0.25">
      <c r="A233" s="40" t="s">
        <v>1332</v>
      </c>
      <c r="B233" s="40" t="s">
        <v>3</v>
      </c>
      <c r="C233" s="40" t="s">
        <v>384</v>
      </c>
      <c r="E233" s="40" t="s">
        <v>385</v>
      </c>
      <c r="F233" s="40">
        <v>10.182222493489499</v>
      </c>
      <c r="G233" s="40">
        <v>45</v>
      </c>
      <c r="H233" s="40">
        <v>3500</v>
      </c>
      <c r="I233" s="40" t="s">
        <v>1064</v>
      </c>
      <c r="J233" s="40" t="s">
        <v>354</v>
      </c>
      <c r="K233" s="40" t="s">
        <v>1065</v>
      </c>
    </row>
    <row r="234" spans="1:11" x14ac:dyDescent="0.25">
      <c r="A234" s="40" t="s">
        <v>1333</v>
      </c>
      <c r="B234" s="40" t="s">
        <v>4</v>
      </c>
      <c r="C234" s="40" t="s">
        <v>61</v>
      </c>
      <c r="E234" s="40" t="s">
        <v>1334</v>
      </c>
      <c r="F234" s="40">
        <v>5.3444445574725101</v>
      </c>
      <c r="G234" s="40">
        <v>27</v>
      </c>
      <c r="H234" s="40">
        <v>3500</v>
      </c>
      <c r="I234" s="40" t="s">
        <v>1064</v>
      </c>
      <c r="J234" s="40" t="s">
        <v>1065</v>
      </c>
      <c r="K234" s="40" t="s">
        <v>354</v>
      </c>
    </row>
    <row r="235" spans="1:11" x14ac:dyDescent="0.25">
      <c r="A235" s="40" t="s">
        <v>1335</v>
      </c>
      <c r="B235" s="40" t="s">
        <v>7</v>
      </c>
      <c r="C235" s="40" t="s">
        <v>726</v>
      </c>
      <c r="E235" s="40" t="s">
        <v>727</v>
      </c>
      <c r="F235" s="40">
        <v>11.4550003051757</v>
      </c>
      <c r="G235" s="40">
        <v>40</v>
      </c>
      <c r="H235" s="40">
        <v>3500</v>
      </c>
      <c r="I235" s="40" t="s">
        <v>1067</v>
      </c>
      <c r="J235" s="40" t="s">
        <v>414</v>
      </c>
      <c r="K235" s="40" t="s">
        <v>407</v>
      </c>
    </row>
    <row r="236" spans="1:11" x14ac:dyDescent="0.25">
      <c r="A236" s="40" t="s">
        <v>1336</v>
      </c>
      <c r="B236" s="40" t="s">
        <v>4</v>
      </c>
      <c r="C236" s="40" t="s">
        <v>729</v>
      </c>
      <c r="E236" s="40" t="s">
        <v>730</v>
      </c>
      <c r="F236" s="40">
        <v>11.357142857142801</v>
      </c>
      <c r="G236" s="40">
        <v>35</v>
      </c>
      <c r="H236" s="40">
        <v>3500</v>
      </c>
      <c r="I236" s="40" t="s">
        <v>1079</v>
      </c>
      <c r="J236" s="40" t="s">
        <v>419</v>
      </c>
      <c r="K236" s="40" t="s">
        <v>404</v>
      </c>
    </row>
    <row r="237" spans="1:11" x14ac:dyDescent="0.25">
      <c r="A237" s="40" t="s">
        <v>1337</v>
      </c>
      <c r="B237" s="40" t="s">
        <v>6</v>
      </c>
      <c r="C237" s="40" t="s">
        <v>386</v>
      </c>
      <c r="E237" s="40" t="s">
        <v>387</v>
      </c>
      <c r="F237" s="40">
        <v>3.5833333333333299</v>
      </c>
      <c r="G237" s="40">
        <v>6</v>
      </c>
      <c r="H237" s="40">
        <v>3500</v>
      </c>
      <c r="I237" s="40" t="s">
        <v>1064</v>
      </c>
      <c r="J237" s="40" t="s">
        <v>354</v>
      </c>
      <c r="K237" s="40" t="s">
        <v>1065</v>
      </c>
    </row>
    <row r="238" spans="1:11" x14ac:dyDescent="0.25">
      <c r="A238" s="40" t="s">
        <v>1338</v>
      </c>
      <c r="B238" s="40" t="s">
        <v>5</v>
      </c>
      <c r="C238" s="40" t="s">
        <v>461</v>
      </c>
      <c r="E238" s="40" t="s">
        <v>735</v>
      </c>
      <c r="F238" s="40">
        <v>9.4868421052631504</v>
      </c>
      <c r="G238" s="40">
        <v>38</v>
      </c>
      <c r="H238" s="40">
        <v>3500</v>
      </c>
      <c r="I238" s="40" t="s">
        <v>1056</v>
      </c>
      <c r="J238" s="40" t="s">
        <v>430</v>
      </c>
      <c r="K238" s="40" t="s">
        <v>86</v>
      </c>
    </row>
    <row r="239" spans="1:11" x14ac:dyDescent="0.25">
      <c r="A239" s="40" t="s">
        <v>1339</v>
      </c>
      <c r="B239" s="40" t="s">
        <v>7</v>
      </c>
      <c r="C239" s="40" t="s">
        <v>893</v>
      </c>
      <c r="E239" s="40" t="s">
        <v>894</v>
      </c>
      <c r="F239" s="40">
        <v>14.3529411764705</v>
      </c>
      <c r="G239" s="40">
        <v>51</v>
      </c>
      <c r="H239" s="40">
        <v>3500</v>
      </c>
      <c r="I239" s="40" t="s">
        <v>1060</v>
      </c>
      <c r="J239" s="40" t="s">
        <v>413</v>
      </c>
      <c r="K239" s="40" t="s">
        <v>88</v>
      </c>
    </row>
    <row r="240" spans="1:11" x14ac:dyDescent="0.25">
      <c r="A240" s="40" t="s">
        <v>1340</v>
      </c>
      <c r="B240" s="40" t="s">
        <v>5</v>
      </c>
      <c r="C240" s="40" t="s">
        <v>1341</v>
      </c>
      <c r="E240" s="40" t="s">
        <v>1342</v>
      </c>
      <c r="F240" s="40">
        <v>14.880000305175701</v>
      </c>
      <c r="G240" s="40">
        <v>40</v>
      </c>
      <c r="H240" s="40">
        <v>3500</v>
      </c>
      <c r="I240" s="40" t="s">
        <v>1075</v>
      </c>
      <c r="J240" s="40" t="s">
        <v>1076</v>
      </c>
      <c r="K240" s="40" t="s">
        <v>436</v>
      </c>
    </row>
    <row r="241" spans="1:13" x14ac:dyDescent="0.25">
      <c r="A241" s="40" t="s">
        <v>1343</v>
      </c>
      <c r="B241" s="40" t="s">
        <v>6</v>
      </c>
      <c r="C241" s="40" t="s">
        <v>738</v>
      </c>
      <c r="E241" s="40" t="s">
        <v>739</v>
      </c>
      <c r="F241" s="40">
        <v>11.9047619047619</v>
      </c>
      <c r="G241" s="40">
        <v>42</v>
      </c>
      <c r="H241" s="40">
        <v>3500</v>
      </c>
      <c r="I241" s="40" t="s">
        <v>1058</v>
      </c>
      <c r="J241" s="40" t="s">
        <v>418</v>
      </c>
      <c r="K241" s="40" t="s">
        <v>87</v>
      </c>
    </row>
    <row r="242" spans="1:13" x14ac:dyDescent="0.25">
      <c r="A242" s="40" t="s">
        <v>1344</v>
      </c>
      <c r="B242" s="40" t="s">
        <v>6</v>
      </c>
      <c r="C242" s="40" t="s">
        <v>741</v>
      </c>
      <c r="E242" s="40" t="s">
        <v>742</v>
      </c>
      <c r="F242" s="40">
        <v>8.6454544067382795</v>
      </c>
      <c r="G242" s="40">
        <v>22</v>
      </c>
      <c r="H242" s="40">
        <v>3500</v>
      </c>
      <c r="I242" s="40" t="s">
        <v>1071</v>
      </c>
      <c r="J242" s="40" t="s">
        <v>445</v>
      </c>
      <c r="K242" s="40" t="s">
        <v>426</v>
      </c>
    </row>
    <row r="243" spans="1:13" x14ac:dyDescent="0.25">
      <c r="A243" s="40" t="s">
        <v>1345</v>
      </c>
      <c r="B243" s="40" t="s">
        <v>7</v>
      </c>
      <c r="C243" s="40" t="s">
        <v>390</v>
      </c>
      <c r="E243" s="40" t="s">
        <v>596</v>
      </c>
      <c r="F243" s="40">
        <v>10.778723534117301</v>
      </c>
      <c r="G243" s="40">
        <v>47</v>
      </c>
      <c r="H243" s="40">
        <v>3500</v>
      </c>
      <c r="I243" s="40" t="s">
        <v>1067</v>
      </c>
      <c r="J243" s="40" t="s">
        <v>407</v>
      </c>
      <c r="K243" s="40" t="s">
        <v>414</v>
      </c>
    </row>
    <row r="244" spans="1:13" x14ac:dyDescent="0.25">
      <c r="A244" s="40" t="s">
        <v>1346</v>
      </c>
      <c r="B244" s="40" t="s">
        <v>7</v>
      </c>
      <c r="C244" s="40" t="s">
        <v>744</v>
      </c>
      <c r="E244" s="40" t="s">
        <v>745</v>
      </c>
      <c r="F244" s="40">
        <v>5.3964287894112699</v>
      </c>
      <c r="G244" s="40">
        <v>28</v>
      </c>
      <c r="H244" s="40">
        <v>3500</v>
      </c>
      <c r="I244" s="40" t="s">
        <v>1069</v>
      </c>
      <c r="J244" s="40" t="s">
        <v>401</v>
      </c>
      <c r="K244" s="40" t="s">
        <v>410</v>
      </c>
    </row>
    <row r="245" spans="1:13" x14ac:dyDescent="0.25">
      <c r="A245" s="40" t="s">
        <v>1347</v>
      </c>
      <c r="B245" s="40" t="s">
        <v>5</v>
      </c>
      <c r="C245" s="40" t="s">
        <v>101</v>
      </c>
      <c r="E245" s="40" t="s">
        <v>102</v>
      </c>
      <c r="F245" s="40">
        <v>2.4055555131700301</v>
      </c>
      <c r="G245" s="40">
        <v>18</v>
      </c>
      <c r="H245" s="40">
        <v>3500</v>
      </c>
      <c r="I245" s="40" t="s">
        <v>1058</v>
      </c>
      <c r="J245" s="40" t="s">
        <v>87</v>
      </c>
      <c r="K245" s="40" t="s">
        <v>418</v>
      </c>
    </row>
    <row r="246" spans="1:13" x14ac:dyDescent="0.25">
      <c r="A246" s="40" t="s">
        <v>1348</v>
      </c>
      <c r="B246" s="40" t="s">
        <v>4</v>
      </c>
      <c r="C246" s="40" t="s">
        <v>46</v>
      </c>
      <c r="E246" s="40" t="s">
        <v>103</v>
      </c>
      <c r="F246" s="40">
        <v>10.897058823529401</v>
      </c>
      <c r="G246" s="40">
        <v>34</v>
      </c>
      <c r="H246" s="40">
        <v>3500</v>
      </c>
      <c r="I246" s="40" t="s">
        <v>1058</v>
      </c>
      <c r="J246" s="40" t="s">
        <v>87</v>
      </c>
      <c r="K246" s="40" t="s">
        <v>418</v>
      </c>
    </row>
    <row r="247" spans="1:13" x14ac:dyDescent="0.25">
      <c r="A247" s="40" t="s">
        <v>1349</v>
      </c>
      <c r="B247" s="40" t="s">
        <v>4</v>
      </c>
      <c r="C247" s="40" t="s">
        <v>897</v>
      </c>
      <c r="E247" s="40" t="s">
        <v>898</v>
      </c>
      <c r="F247" s="40">
        <v>9.2624999999999993</v>
      </c>
      <c r="G247" s="40">
        <v>40</v>
      </c>
      <c r="H247" s="40">
        <v>3500</v>
      </c>
      <c r="I247" s="40" t="s">
        <v>1067</v>
      </c>
      <c r="J247" s="40" t="s">
        <v>414</v>
      </c>
      <c r="K247" s="40" t="s">
        <v>407</v>
      </c>
    </row>
    <row r="248" spans="1:13" x14ac:dyDescent="0.25">
      <c r="A248" s="40" t="s">
        <v>1350</v>
      </c>
      <c r="B248" s="40" t="s">
        <v>4</v>
      </c>
      <c r="C248" s="40" t="s">
        <v>750</v>
      </c>
      <c r="E248" s="40" t="s">
        <v>751</v>
      </c>
      <c r="F248" s="40">
        <v>5.5</v>
      </c>
      <c r="G248" s="40">
        <v>16</v>
      </c>
      <c r="H248" s="40">
        <v>3500</v>
      </c>
      <c r="I248" s="40" t="s">
        <v>1079</v>
      </c>
      <c r="J248" s="40" t="s">
        <v>404</v>
      </c>
      <c r="K248" s="40" t="s">
        <v>419</v>
      </c>
    </row>
    <row r="249" spans="1:13" x14ac:dyDescent="0.25">
      <c r="A249" s="40" t="s">
        <v>1351</v>
      </c>
      <c r="B249" s="40" t="s">
        <v>7</v>
      </c>
      <c r="C249" s="40" t="s">
        <v>1352</v>
      </c>
      <c r="E249" s="40" t="s">
        <v>1353</v>
      </c>
      <c r="F249" s="40">
        <v>6.3260869565217304</v>
      </c>
      <c r="G249" s="40">
        <v>23</v>
      </c>
      <c r="H249" s="40">
        <v>3500</v>
      </c>
      <c r="I249" s="40" t="s">
        <v>1064</v>
      </c>
      <c r="J249" s="40" t="s">
        <v>1065</v>
      </c>
      <c r="K249" s="40" t="s">
        <v>354</v>
      </c>
    </row>
    <row r="250" spans="1:13" x14ac:dyDescent="0.25">
      <c r="A250" s="40" t="s">
        <v>1354</v>
      </c>
      <c r="B250" s="40" t="s">
        <v>5</v>
      </c>
      <c r="C250" s="40" t="s">
        <v>758</v>
      </c>
      <c r="E250" s="40" t="s">
        <v>517</v>
      </c>
      <c r="F250" s="40">
        <v>12.7693880042251</v>
      </c>
      <c r="G250" s="40">
        <v>49</v>
      </c>
      <c r="H250" s="40">
        <v>3500</v>
      </c>
      <c r="I250" s="40" t="s">
        <v>1071</v>
      </c>
      <c r="J250" s="40" t="s">
        <v>426</v>
      </c>
      <c r="K250" s="40" t="s">
        <v>445</v>
      </c>
    </row>
    <row r="251" spans="1:13" x14ac:dyDescent="0.25">
      <c r="A251" s="40" t="s">
        <v>1355</v>
      </c>
      <c r="B251" s="40" t="s">
        <v>3</v>
      </c>
      <c r="C251" s="40" t="s">
        <v>45</v>
      </c>
      <c r="E251" s="40" t="s">
        <v>901</v>
      </c>
      <c r="F251" s="40">
        <v>14.7688883463541</v>
      </c>
      <c r="G251" s="40">
        <v>45</v>
      </c>
      <c r="H251" s="40">
        <v>3500</v>
      </c>
      <c r="I251" s="40" t="s">
        <v>1079</v>
      </c>
      <c r="J251" s="40" t="s">
        <v>419</v>
      </c>
      <c r="K251" s="40" t="s">
        <v>404</v>
      </c>
    </row>
    <row r="252" spans="1:13" x14ac:dyDescent="0.25">
      <c r="A252" s="40" t="s">
        <v>1356</v>
      </c>
      <c r="B252" s="40" t="s">
        <v>7</v>
      </c>
      <c r="C252" s="40" t="s">
        <v>379</v>
      </c>
      <c r="E252" s="40" t="s">
        <v>78</v>
      </c>
      <c r="F252" s="40">
        <v>4.1791667938232404</v>
      </c>
      <c r="G252" s="40">
        <v>24</v>
      </c>
      <c r="H252" s="40">
        <v>3500</v>
      </c>
      <c r="I252" s="40" t="s">
        <v>1064</v>
      </c>
      <c r="J252" s="40" t="s">
        <v>354</v>
      </c>
      <c r="K252" s="40" t="s">
        <v>1065</v>
      </c>
    </row>
    <row r="253" spans="1:13" x14ac:dyDescent="0.25">
      <c r="A253" s="40" t="s">
        <v>1357</v>
      </c>
      <c r="B253" s="40" t="s">
        <v>4</v>
      </c>
      <c r="C253" s="40" t="s">
        <v>903</v>
      </c>
      <c r="E253" s="40" t="s">
        <v>904</v>
      </c>
      <c r="F253" s="40">
        <v>2.6000001089913498</v>
      </c>
      <c r="G253" s="40">
        <v>14</v>
      </c>
      <c r="H253" s="40">
        <v>3500</v>
      </c>
      <c r="I253" s="40" t="s">
        <v>1071</v>
      </c>
      <c r="J253" s="40" t="s">
        <v>445</v>
      </c>
      <c r="K253" s="40" t="s">
        <v>426</v>
      </c>
    </row>
    <row r="254" spans="1:13" x14ac:dyDescent="0.25">
      <c r="A254" s="40" t="s">
        <v>1358</v>
      </c>
      <c r="B254" s="40" t="s">
        <v>5</v>
      </c>
      <c r="C254" s="40" t="s">
        <v>58</v>
      </c>
      <c r="E254" s="40" t="s">
        <v>769</v>
      </c>
      <c r="F254" s="40">
        <v>1</v>
      </c>
      <c r="G254" s="40">
        <v>5</v>
      </c>
      <c r="H254" s="40">
        <v>3500</v>
      </c>
      <c r="I254" s="40" t="s">
        <v>1075</v>
      </c>
      <c r="J254" s="40" t="s">
        <v>436</v>
      </c>
      <c r="K254" s="40" t="s">
        <v>1076</v>
      </c>
    </row>
    <row r="255" spans="1:13" x14ac:dyDescent="0.25">
      <c r="A255" s="40" t="s">
        <v>1359</v>
      </c>
      <c r="B255" s="40" t="s">
        <v>4</v>
      </c>
      <c r="C255" s="40" t="s">
        <v>511</v>
      </c>
      <c r="E255" s="40" t="s">
        <v>771</v>
      </c>
      <c r="F255" s="40">
        <v>11.745237804594399</v>
      </c>
      <c r="G255" s="40">
        <v>42</v>
      </c>
      <c r="H255" s="40">
        <v>3500</v>
      </c>
      <c r="I255" s="40" t="s">
        <v>1067</v>
      </c>
      <c r="J255" s="40" t="s">
        <v>407</v>
      </c>
      <c r="K255" s="40" t="s">
        <v>414</v>
      </c>
      <c r="L255" s="40" t="s">
        <v>48</v>
      </c>
      <c r="M255" s="40" t="s">
        <v>65</v>
      </c>
    </row>
    <row r="256" spans="1:13" x14ac:dyDescent="0.25">
      <c r="A256" s="40" t="s">
        <v>1360</v>
      </c>
      <c r="B256" s="40" t="s">
        <v>3</v>
      </c>
      <c r="C256" s="40" t="s">
        <v>463</v>
      </c>
      <c r="E256" s="40" t="s">
        <v>775</v>
      </c>
      <c r="F256" s="40">
        <v>5.7777777777777697</v>
      </c>
      <c r="G256" s="40">
        <v>18</v>
      </c>
      <c r="H256" s="40">
        <v>3500</v>
      </c>
      <c r="I256" s="40" t="s">
        <v>1071</v>
      </c>
      <c r="J256" s="40" t="s">
        <v>426</v>
      </c>
      <c r="K256" s="40" t="s">
        <v>445</v>
      </c>
    </row>
    <row r="257" spans="1:13" x14ac:dyDescent="0.25">
      <c r="A257" s="40" t="s">
        <v>1361</v>
      </c>
      <c r="B257" s="40" t="s">
        <v>7</v>
      </c>
      <c r="C257" s="40" t="s">
        <v>781</v>
      </c>
      <c r="E257" s="40" t="s">
        <v>782</v>
      </c>
      <c r="F257" s="40">
        <v>9.7081635144292093</v>
      </c>
      <c r="G257" s="40">
        <v>49</v>
      </c>
      <c r="H257" s="40">
        <v>3500</v>
      </c>
      <c r="I257" s="40" t="s">
        <v>1075</v>
      </c>
      <c r="J257" s="40" t="s">
        <v>436</v>
      </c>
      <c r="K257" s="40" t="s">
        <v>1076</v>
      </c>
    </row>
    <row r="258" spans="1:13" x14ac:dyDescent="0.25">
      <c r="A258" s="40" t="s">
        <v>1362</v>
      </c>
      <c r="B258" s="40" t="s">
        <v>3</v>
      </c>
      <c r="C258" s="40" t="s">
        <v>104</v>
      </c>
      <c r="E258" s="40" t="s">
        <v>105</v>
      </c>
      <c r="F258" s="40">
        <v>7.7863637750799004</v>
      </c>
      <c r="G258" s="40">
        <v>22</v>
      </c>
      <c r="H258" s="40">
        <v>3500</v>
      </c>
      <c r="I258" s="40" t="s">
        <v>1058</v>
      </c>
      <c r="J258" s="40" t="s">
        <v>87</v>
      </c>
      <c r="K258" s="40" t="s">
        <v>418</v>
      </c>
    </row>
    <row r="259" spans="1:13" x14ac:dyDescent="0.25">
      <c r="A259" s="40" t="s">
        <v>1363</v>
      </c>
      <c r="B259" s="40" t="s">
        <v>5</v>
      </c>
      <c r="C259" s="40" t="s">
        <v>94</v>
      </c>
      <c r="E259" s="40" t="s">
        <v>46</v>
      </c>
      <c r="F259" s="40">
        <v>8.4399998982747402</v>
      </c>
      <c r="G259" s="40">
        <v>30</v>
      </c>
      <c r="H259" s="40">
        <v>3500</v>
      </c>
      <c r="I259" s="40" t="s">
        <v>1069</v>
      </c>
      <c r="J259" s="40" t="s">
        <v>401</v>
      </c>
      <c r="K259" s="40" t="s">
        <v>410</v>
      </c>
      <c r="L259" s="40" t="s">
        <v>53</v>
      </c>
      <c r="M259" s="40" t="s">
        <v>1364</v>
      </c>
    </row>
    <row r="260" spans="1:13" x14ac:dyDescent="0.25">
      <c r="A260" s="40" t="s">
        <v>1365</v>
      </c>
      <c r="B260" s="40" t="s">
        <v>7</v>
      </c>
      <c r="C260" s="40" t="s">
        <v>916</v>
      </c>
      <c r="E260" s="40" t="s">
        <v>917</v>
      </c>
      <c r="F260" s="40">
        <v>5.5888886628327503</v>
      </c>
      <c r="G260" s="40">
        <v>27</v>
      </c>
      <c r="H260" s="40">
        <v>3500</v>
      </c>
      <c r="I260" s="40" t="s">
        <v>1071</v>
      </c>
      <c r="J260" s="40" t="s">
        <v>445</v>
      </c>
      <c r="K260" s="40" t="s">
        <v>426</v>
      </c>
    </row>
    <row r="261" spans="1:13" x14ac:dyDescent="0.25">
      <c r="A261" s="40" t="s">
        <v>1366</v>
      </c>
      <c r="B261" s="40" t="s">
        <v>3</v>
      </c>
      <c r="C261" s="40" t="s">
        <v>787</v>
      </c>
      <c r="E261" s="40" t="s">
        <v>788</v>
      </c>
      <c r="F261" s="40">
        <v>11.4033335367838</v>
      </c>
      <c r="G261" s="40">
        <v>30</v>
      </c>
      <c r="H261" s="40">
        <v>3500</v>
      </c>
      <c r="I261" s="40" t="s">
        <v>1071</v>
      </c>
      <c r="J261" s="40" t="s">
        <v>445</v>
      </c>
      <c r="K261" s="40" t="s">
        <v>426</v>
      </c>
    </row>
    <row r="262" spans="1:13" x14ac:dyDescent="0.25">
      <c r="A262" s="40" t="s">
        <v>1367</v>
      </c>
      <c r="B262" s="40" t="s">
        <v>7</v>
      </c>
      <c r="C262" s="40" t="s">
        <v>1368</v>
      </c>
      <c r="E262" s="40" t="s">
        <v>1369</v>
      </c>
      <c r="F262" s="40">
        <v>6.9571429661342004</v>
      </c>
      <c r="G262" s="40">
        <v>28</v>
      </c>
      <c r="H262" s="40">
        <v>3500</v>
      </c>
      <c r="I262" s="40" t="s">
        <v>1075</v>
      </c>
      <c r="J262" s="40" t="s">
        <v>1076</v>
      </c>
      <c r="K262" s="40" t="s">
        <v>436</v>
      </c>
    </row>
    <row r="263" spans="1:13" x14ac:dyDescent="0.25">
      <c r="A263" s="40" t="s">
        <v>1370</v>
      </c>
      <c r="B263" s="40" t="s">
        <v>3</v>
      </c>
      <c r="C263" s="40" t="s">
        <v>391</v>
      </c>
      <c r="E263" s="40" t="s">
        <v>1371</v>
      </c>
      <c r="F263" s="40">
        <v>8.1375001271565708</v>
      </c>
      <c r="G263" s="40">
        <v>48</v>
      </c>
      <c r="H263" s="40">
        <v>3500</v>
      </c>
      <c r="I263" s="40" t="s">
        <v>1064</v>
      </c>
      <c r="J263" s="40" t="s">
        <v>1065</v>
      </c>
      <c r="K263" s="40" t="s">
        <v>354</v>
      </c>
    </row>
    <row r="264" spans="1:13" x14ac:dyDescent="0.25">
      <c r="A264" s="40" t="s">
        <v>1372</v>
      </c>
      <c r="B264" s="40" t="s">
        <v>4</v>
      </c>
      <c r="C264" s="40" t="s">
        <v>461</v>
      </c>
      <c r="E264" s="40" t="s">
        <v>790</v>
      </c>
      <c r="F264" s="40">
        <v>15.476596264128901</v>
      </c>
      <c r="G264" s="40">
        <v>47</v>
      </c>
      <c r="H264" s="40">
        <v>3500</v>
      </c>
      <c r="I264" s="40" t="s">
        <v>1056</v>
      </c>
      <c r="J264" s="40" t="s">
        <v>430</v>
      </c>
      <c r="K264" s="40" t="s">
        <v>86</v>
      </c>
    </row>
    <row r="265" spans="1:13" x14ac:dyDescent="0.25">
      <c r="A265" s="40" t="s">
        <v>1373</v>
      </c>
      <c r="B265" s="40" t="s">
        <v>7</v>
      </c>
      <c r="C265" s="40" t="s">
        <v>792</v>
      </c>
      <c r="E265" s="40" t="s">
        <v>793</v>
      </c>
      <c r="F265" s="40">
        <v>16.1933336046006</v>
      </c>
      <c r="G265" s="40">
        <v>45</v>
      </c>
      <c r="H265" s="40">
        <v>3500</v>
      </c>
      <c r="I265" s="40" t="s">
        <v>1071</v>
      </c>
      <c r="J265" s="40" t="s">
        <v>426</v>
      </c>
      <c r="K265" s="40" t="s">
        <v>445</v>
      </c>
    </row>
    <row r="266" spans="1:13" x14ac:dyDescent="0.25">
      <c r="A266" s="40" t="s">
        <v>1374</v>
      </c>
      <c r="B266" s="40" t="s">
        <v>7</v>
      </c>
      <c r="C266" s="40" t="s">
        <v>379</v>
      </c>
      <c r="E266" s="40" t="s">
        <v>504</v>
      </c>
      <c r="F266" s="40">
        <v>14.091110568576299</v>
      </c>
      <c r="G266" s="40">
        <v>45</v>
      </c>
      <c r="H266" s="40">
        <v>3500</v>
      </c>
      <c r="I266" s="40" t="s">
        <v>1079</v>
      </c>
      <c r="J266" s="40" t="s">
        <v>419</v>
      </c>
      <c r="K266" s="40" t="s">
        <v>404</v>
      </c>
    </row>
    <row r="267" spans="1:13" x14ac:dyDescent="0.25">
      <c r="A267" s="40" t="s">
        <v>1375</v>
      </c>
      <c r="B267" s="40" t="s">
        <v>5</v>
      </c>
      <c r="C267" s="40" t="s">
        <v>920</v>
      </c>
      <c r="E267" s="40" t="s">
        <v>374</v>
      </c>
      <c r="F267" s="40">
        <v>10.3816329021843</v>
      </c>
      <c r="G267" s="40">
        <v>49</v>
      </c>
      <c r="H267" s="40">
        <v>3500</v>
      </c>
      <c r="I267" s="40" t="s">
        <v>1071</v>
      </c>
      <c r="J267" s="40" t="s">
        <v>445</v>
      </c>
      <c r="K267" s="40" t="s">
        <v>426</v>
      </c>
    </row>
    <row r="268" spans="1:13" x14ac:dyDescent="0.25">
      <c r="A268" s="40" t="s">
        <v>1376</v>
      </c>
      <c r="B268" s="40" t="s">
        <v>3</v>
      </c>
      <c r="C268" s="40" t="s">
        <v>106</v>
      </c>
      <c r="E268" s="40" t="s">
        <v>107</v>
      </c>
      <c r="F268" s="40">
        <v>8.2041664123535103</v>
      </c>
      <c r="G268" s="40">
        <v>24</v>
      </c>
      <c r="H268" s="40">
        <v>3500</v>
      </c>
      <c r="I268" s="40" t="s">
        <v>1058</v>
      </c>
      <c r="J268" s="40" t="s">
        <v>87</v>
      </c>
      <c r="K268" s="40" t="s">
        <v>418</v>
      </c>
    </row>
    <row r="269" spans="1:13" x14ac:dyDescent="0.25">
      <c r="A269" s="40" t="s">
        <v>1377</v>
      </c>
      <c r="B269" s="40" t="s">
        <v>5</v>
      </c>
      <c r="C269" s="40" t="s">
        <v>461</v>
      </c>
      <c r="E269" s="40" t="s">
        <v>922</v>
      </c>
      <c r="F269" s="40">
        <v>6.9647059721105196</v>
      </c>
      <c r="G269" s="40">
        <v>17</v>
      </c>
      <c r="H269" s="40">
        <v>3500</v>
      </c>
      <c r="I269" s="40" t="s">
        <v>1056</v>
      </c>
      <c r="J269" s="40" t="s">
        <v>430</v>
      </c>
      <c r="K269" s="40" t="s">
        <v>86</v>
      </c>
    </row>
    <row r="270" spans="1:13" x14ac:dyDescent="0.25">
      <c r="A270" s="40" t="s">
        <v>1378</v>
      </c>
      <c r="B270" s="40" t="s">
        <v>6</v>
      </c>
      <c r="C270" s="40" t="s">
        <v>1379</v>
      </c>
      <c r="E270" s="40" t="s">
        <v>1380</v>
      </c>
      <c r="F270" s="40">
        <v>12.104544899680301</v>
      </c>
      <c r="G270" s="40">
        <v>44</v>
      </c>
      <c r="H270" s="40">
        <v>3500</v>
      </c>
      <c r="I270" s="40" t="s">
        <v>1075</v>
      </c>
      <c r="J270" s="40" t="s">
        <v>1076</v>
      </c>
      <c r="K270" s="40" t="s">
        <v>436</v>
      </c>
    </row>
    <row r="271" spans="1:13" x14ac:dyDescent="0.25">
      <c r="A271" s="40" t="s">
        <v>1381</v>
      </c>
      <c r="B271" s="40" t="s">
        <v>4</v>
      </c>
      <c r="C271" s="40" t="s">
        <v>108</v>
      </c>
      <c r="E271" s="40" t="s">
        <v>81</v>
      </c>
      <c r="F271" s="40">
        <v>7.4166666666666599</v>
      </c>
      <c r="G271" s="40">
        <v>12</v>
      </c>
      <c r="H271" s="40">
        <v>3500</v>
      </c>
      <c r="I271" s="40" t="s">
        <v>1060</v>
      </c>
      <c r="J271" s="40" t="s">
        <v>88</v>
      </c>
      <c r="K271" s="40" t="s">
        <v>413</v>
      </c>
      <c r="L271" s="40" t="s">
        <v>48</v>
      </c>
      <c r="M271" s="40" t="s">
        <v>67</v>
      </c>
    </row>
    <row r="272" spans="1:13" x14ac:dyDescent="0.25">
      <c r="A272" s="40" t="s">
        <v>630</v>
      </c>
      <c r="B272" s="40" t="s">
        <v>7</v>
      </c>
      <c r="C272" s="40" t="s">
        <v>590</v>
      </c>
      <c r="E272" s="40" t="s">
        <v>534</v>
      </c>
      <c r="F272" s="40">
        <v>4.8181818181818103</v>
      </c>
      <c r="G272" s="40">
        <v>22</v>
      </c>
      <c r="H272" s="40">
        <v>3500</v>
      </c>
      <c r="I272" s="40" t="s">
        <v>428</v>
      </c>
      <c r="J272" s="40" t="s">
        <v>429</v>
      </c>
      <c r="K272" s="40" t="s">
        <v>430</v>
      </c>
    </row>
    <row r="273" spans="1:13" x14ac:dyDescent="0.25">
      <c r="A273" s="40" t="s">
        <v>631</v>
      </c>
      <c r="B273" s="40" t="s">
        <v>4</v>
      </c>
      <c r="C273" s="40" t="s">
        <v>632</v>
      </c>
      <c r="E273" s="40" t="s">
        <v>633</v>
      </c>
      <c r="F273" s="40">
        <v>7.2078945762232696</v>
      </c>
      <c r="G273" s="40">
        <v>38</v>
      </c>
      <c r="H273" s="40">
        <v>3500</v>
      </c>
      <c r="I273" s="40" t="s">
        <v>435</v>
      </c>
      <c r="J273" s="40" t="s">
        <v>436</v>
      </c>
      <c r="K273" s="40" t="s">
        <v>87</v>
      </c>
      <c r="L273" s="40" t="s">
        <v>48</v>
      </c>
      <c r="M273" s="40" t="s">
        <v>63</v>
      </c>
    </row>
    <row r="274" spans="1:13" x14ac:dyDescent="0.25">
      <c r="A274" s="40" t="s">
        <v>634</v>
      </c>
      <c r="B274" s="40" t="s">
        <v>5</v>
      </c>
      <c r="C274" s="40" t="s">
        <v>64</v>
      </c>
      <c r="E274" s="40" t="s">
        <v>534</v>
      </c>
      <c r="F274" s="40">
        <v>9.0879998779296791</v>
      </c>
      <c r="G274" s="40">
        <v>50</v>
      </c>
      <c r="H274" s="40">
        <v>3500</v>
      </c>
      <c r="I274" s="40" t="s">
        <v>425</v>
      </c>
      <c r="J274" s="40" t="s">
        <v>426</v>
      </c>
      <c r="K274" s="40" t="s">
        <v>427</v>
      </c>
    </row>
    <row r="275" spans="1:13" x14ac:dyDescent="0.25">
      <c r="A275" s="40" t="s">
        <v>635</v>
      </c>
      <c r="B275" s="40" t="s">
        <v>6</v>
      </c>
      <c r="C275" s="40" t="s">
        <v>160</v>
      </c>
      <c r="E275" s="40" t="s">
        <v>161</v>
      </c>
      <c r="F275" s="40">
        <v>0.73333334922790505</v>
      </c>
      <c r="G275" s="40">
        <v>3</v>
      </c>
      <c r="H275" s="40">
        <v>3500</v>
      </c>
      <c r="I275" s="40" t="s">
        <v>406</v>
      </c>
      <c r="J275" s="40" t="s">
        <v>86</v>
      </c>
      <c r="K275" s="40" t="s">
        <v>407</v>
      </c>
    </row>
    <row r="276" spans="1:13" x14ac:dyDescent="0.25">
      <c r="A276" s="40" t="s">
        <v>636</v>
      </c>
      <c r="B276" s="40" t="s">
        <v>4</v>
      </c>
      <c r="C276" s="40" t="s">
        <v>637</v>
      </c>
      <c r="E276" s="40" t="s">
        <v>638</v>
      </c>
      <c r="F276" s="40">
        <v>6.4206895499393797</v>
      </c>
      <c r="G276" s="40">
        <v>29</v>
      </c>
      <c r="H276" s="40">
        <v>3500</v>
      </c>
      <c r="I276" s="40" t="s">
        <v>417</v>
      </c>
      <c r="J276" s="40" t="s">
        <v>418</v>
      </c>
      <c r="K276" s="40" t="s">
        <v>419</v>
      </c>
    </row>
    <row r="277" spans="1:13" x14ac:dyDescent="0.25">
      <c r="A277" s="40" t="s">
        <v>639</v>
      </c>
      <c r="B277" s="40" t="s">
        <v>7</v>
      </c>
      <c r="C277" s="40" t="s">
        <v>640</v>
      </c>
      <c r="E277" s="40" t="s">
        <v>641</v>
      </c>
      <c r="F277" s="40">
        <v>6.4761904761904701</v>
      </c>
      <c r="G277" s="40">
        <v>42</v>
      </c>
      <c r="H277" s="40">
        <v>3500</v>
      </c>
      <c r="I277" s="40" t="s">
        <v>421</v>
      </c>
      <c r="J277" s="40" t="s">
        <v>422</v>
      </c>
      <c r="K277" s="40" t="s">
        <v>355</v>
      </c>
    </row>
    <row r="278" spans="1:13" x14ac:dyDescent="0.25">
      <c r="A278" s="40" t="s">
        <v>642</v>
      </c>
      <c r="B278" s="40" t="s">
        <v>7</v>
      </c>
      <c r="C278" s="40" t="s">
        <v>92</v>
      </c>
      <c r="E278" s="40" t="s">
        <v>643</v>
      </c>
      <c r="F278" s="40">
        <v>16.7433966870577</v>
      </c>
      <c r="G278" s="40">
        <v>53</v>
      </c>
      <c r="H278" s="40">
        <v>3500</v>
      </c>
      <c r="I278" s="40" t="s">
        <v>435</v>
      </c>
      <c r="J278" s="40" t="s">
        <v>436</v>
      </c>
      <c r="K278" s="40" t="s">
        <v>87</v>
      </c>
    </row>
    <row r="279" spans="1:13" x14ac:dyDescent="0.25">
      <c r="A279" s="40" t="s">
        <v>644</v>
      </c>
      <c r="B279" s="40" t="s">
        <v>7</v>
      </c>
      <c r="C279" s="40" t="s">
        <v>645</v>
      </c>
      <c r="E279" s="40" t="s">
        <v>646</v>
      </c>
      <c r="F279" s="40">
        <v>4.8275862068965498</v>
      </c>
      <c r="G279" s="40">
        <v>29</v>
      </c>
      <c r="H279" s="40">
        <v>3500</v>
      </c>
      <c r="I279" s="40" t="s">
        <v>402</v>
      </c>
      <c r="J279" s="40" t="s">
        <v>403</v>
      </c>
      <c r="K279" s="40" t="s">
        <v>404</v>
      </c>
    </row>
    <row r="280" spans="1:13" x14ac:dyDescent="0.25">
      <c r="A280" s="40" t="s">
        <v>647</v>
      </c>
      <c r="B280" s="40" t="s">
        <v>7</v>
      </c>
      <c r="C280" s="40" t="s">
        <v>648</v>
      </c>
      <c r="E280" s="40" t="s">
        <v>649</v>
      </c>
      <c r="F280" s="40">
        <v>10.569999694824199</v>
      </c>
      <c r="G280" s="40">
        <v>20</v>
      </c>
      <c r="H280" s="40">
        <v>3500</v>
      </c>
      <c r="I280" s="40" t="s">
        <v>452</v>
      </c>
      <c r="J280" s="40" t="s">
        <v>454</v>
      </c>
      <c r="K280" s="40" t="s">
        <v>453</v>
      </c>
    </row>
    <row r="281" spans="1:13" x14ac:dyDescent="0.25">
      <c r="A281" s="40" t="s">
        <v>650</v>
      </c>
      <c r="B281" s="40" t="s">
        <v>4</v>
      </c>
      <c r="C281" s="40" t="s">
        <v>651</v>
      </c>
      <c r="E281" s="40" t="s">
        <v>652</v>
      </c>
      <c r="F281" s="40">
        <v>11.5578950580797</v>
      </c>
      <c r="G281" s="40">
        <v>19</v>
      </c>
      <c r="H281" s="40">
        <v>3500</v>
      </c>
      <c r="I281" s="40" t="s">
        <v>412</v>
      </c>
      <c r="J281" s="40" t="s">
        <v>413</v>
      </c>
      <c r="K281" s="40" t="s">
        <v>414</v>
      </c>
    </row>
    <row r="282" spans="1:13" x14ac:dyDescent="0.25">
      <c r="A282" s="40" t="s">
        <v>653</v>
      </c>
      <c r="B282" s="40" t="s">
        <v>5</v>
      </c>
      <c r="C282" s="40" t="s">
        <v>654</v>
      </c>
      <c r="E282" s="40" t="s">
        <v>655</v>
      </c>
      <c r="F282" s="40">
        <v>6.0120001220703099</v>
      </c>
      <c r="G282" s="40">
        <v>25</v>
      </c>
      <c r="H282" s="40">
        <v>3500</v>
      </c>
      <c r="I282" s="40" t="s">
        <v>428</v>
      </c>
      <c r="J282" s="40" t="s">
        <v>430</v>
      </c>
      <c r="K282" s="40" t="s">
        <v>429</v>
      </c>
    </row>
    <row r="283" spans="1:13" x14ac:dyDescent="0.25">
      <c r="A283" s="40" t="s">
        <v>656</v>
      </c>
      <c r="B283" s="40" t="s">
        <v>5</v>
      </c>
      <c r="C283" s="40" t="s">
        <v>597</v>
      </c>
      <c r="E283" s="40" t="s">
        <v>534</v>
      </c>
      <c r="F283" s="40">
        <v>12.0519995117187</v>
      </c>
      <c r="G283" s="40">
        <v>50</v>
      </c>
      <c r="H283" s="40">
        <v>3500</v>
      </c>
      <c r="I283" s="40" t="s">
        <v>444</v>
      </c>
      <c r="J283" s="40" t="s">
        <v>446</v>
      </c>
      <c r="K283" s="40" t="s">
        <v>445</v>
      </c>
    </row>
    <row r="284" spans="1:13" x14ac:dyDescent="0.25">
      <c r="A284" s="40" t="s">
        <v>657</v>
      </c>
      <c r="B284" s="40" t="s">
        <v>3</v>
      </c>
      <c r="C284" s="40" t="s">
        <v>164</v>
      </c>
      <c r="E284" s="40" t="s">
        <v>165</v>
      </c>
      <c r="F284" s="40">
        <v>16.5574069552951</v>
      </c>
      <c r="G284" s="40">
        <v>54</v>
      </c>
      <c r="H284" s="40">
        <v>3500</v>
      </c>
      <c r="I284" s="40" t="s">
        <v>439</v>
      </c>
      <c r="J284" s="40" t="s">
        <v>118</v>
      </c>
      <c r="K284" s="40" t="s">
        <v>440</v>
      </c>
    </row>
    <row r="285" spans="1:13" x14ac:dyDescent="0.25">
      <c r="A285" s="40" t="s">
        <v>658</v>
      </c>
      <c r="B285" s="40" t="s">
        <v>5</v>
      </c>
      <c r="C285" s="40" t="s">
        <v>64</v>
      </c>
      <c r="E285" s="40" t="s">
        <v>659</v>
      </c>
      <c r="F285" s="40">
        <v>4.0333333898473596</v>
      </c>
      <c r="G285" s="40">
        <v>27</v>
      </c>
      <c r="H285" s="40">
        <v>3500</v>
      </c>
      <c r="I285" s="40" t="s">
        <v>399</v>
      </c>
      <c r="J285" s="40" t="s">
        <v>400</v>
      </c>
      <c r="K285" s="40" t="s">
        <v>401</v>
      </c>
    </row>
    <row r="286" spans="1:13" x14ac:dyDescent="0.25">
      <c r="A286" s="40" t="s">
        <v>660</v>
      </c>
      <c r="B286" s="40" t="s">
        <v>3</v>
      </c>
      <c r="C286" s="40" t="s">
        <v>661</v>
      </c>
      <c r="E286" s="40" t="s">
        <v>662</v>
      </c>
      <c r="F286" s="40">
        <v>13.9804342518682</v>
      </c>
      <c r="G286" s="40">
        <v>46</v>
      </c>
      <c r="H286" s="40">
        <v>3500</v>
      </c>
      <c r="I286" s="40" t="s">
        <v>452</v>
      </c>
      <c r="J286" s="40" t="s">
        <v>454</v>
      </c>
      <c r="K286" s="40" t="s">
        <v>453</v>
      </c>
    </row>
    <row r="287" spans="1:13" x14ac:dyDescent="0.25">
      <c r="A287" s="40" t="s">
        <v>663</v>
      </c>
      <c r="B287" s="40" t="s">
        <v>6</v>
      </c>
      <c r="C287" s="40" t="s">
        <v>461</v>
      </c>
      <c r="E287" s="40" t="s">
        <v>664</v>
      </c>
      <c r="F287" s="40">
        <v>0</v>
      </c>
      <c r="G287" s="40">
        <v>0</v>
      </c>
      <c r="H287" s="40">
        <v>3500</v>
      </c>
      <c r="I287" s="40" t="s">
        <v>439</v>
      </c>
      <c r="J287" s="40" t="s">
        <v>440</v>
      </c>
      <c r="K287" s="40" t="s">
        <v>118</v>
      </c>
    </row>
    <row r="288" spans="1:13" x14ac:dyDescent="0.25">
      <c r="A288" s="40" t="s">
        <v>665</v>
      </c>
      <c r="B288" s="40" t="s">
        <v>3</v>
      </c>
      <c r="C288" s="40" t="s">
        <v>666</v>
      </c>
      <c r="E288" s="40" t="s">
        <v>667</v>
      </c>
      <c r="F288" s="40">
        <v>7.3888888888888804</v>
      </c>
      <c r="G288" s="40">
        <v>27</v>
      </c>
      <c r="H288" s="40">
        <v>3500</v>
      </c>
      <c r="I288" s="40" t="s">
        <v>399</v>
      </c>
      <c r="J288" s="40" t="s">
        <v>401</v>
      </c>
      <c r="K288" s="40" t="s">
        <v>400</v>
      </c>
    </row>
    <row r="289" spans="1:13" x14ac:dyDescent="0.25">
      <c r="A289" s="40" t="s">
        <v>668</v>
      </c>
      <c r="B289" s="40" t="s">
        <v>3</v>
      </c>
      <c r="C289" s="40" t="s">
        <v>112</v>
      </c>
      <c r="E289" s="40" t="s">
        <v>669</v>
      </c>
      <c r="F289" s="40">
        <v>5.9967739966607798</v>
      </c>
      <c r="G289" s="40">
        <v>31</v>
      </c>
      <c r="H289" s="40">
        <v>3500</v>
      </c>
      <c r="I289" s="40" t="s">
        <v>452</v>
      </c>
      <c r="J289" s="40" t="s">
        <v>453</v>
      </c>
      <c r="K289" s="40" t="s">
        <v>454</v>
      </c>
    </row>
    <row r="290" spans="1:13" x14ac:dyDescent="0.25">
      <c r="A290" s="40" t="s">
        <v>670</v>
      </c>
      <c r="B290" s="40" t="s">
        <v>3</v>
      </c>
      <c r="C290" s="40" t="s">
        <v>671</v>
      </c>
      <c r="E290" s="40" t="s">
        <v>672</v>
      </c>
      <c r="F290" s="40">
        <v>5.1052631578947301</v>
      </c>
      <c r="G290" s="40">
        <v>19</v>
      </c>
      <c r="H290" s="40">
        <v>3500</v>
      </c>
      <c r="I290" s="40" t="s">
        <v>439</v>
      </c>
      <c r="J290" s="40" t="s">
        <v>440</v>
      </c>
      <c r="K290" s="40" t="s">
        <v>118</v>
      </c>
    </row>
    <row r="291" spans="1:13" x14ac:dyDescent="0.25">
      <c r="A291" s="40" t="s">
        <v>673</v>
      </c>
      <c r="B291" s="40" t="s">
        <v>5</v>
      </c>
      <c r="C291" s="40" t="s">
        <v>411</v>
      </c>
      <c r="E291" s="40" t="s">
        <v>674</v>
      </c>
      <c r="F291" s="40">
        <v>7.9510640895113003</v>
      </c>
      <c r="G291" s="40">
        <v>47</v>
      </c>
      <c r="H291" s="40">
        <v>3500</v>
      </c>
      <c r="I291" s="40" t="s">
        <v>425</v>
      </c>
      <c r="J291" s="40" t="s">
        <v>426</v>
      </c>
      <c r="K291" s="40" t="s">
        <v>427</v>
      </c>
    </row>
    <row r="292" spans="1:13" x14ac:dyDescent="0.25">
      <c r="A292" s="40" t="s">
        <v>675</v>
      </c>
      <c r="B292" s="40" t="s">
        <v>4</v>
      </c>
      <c r="C292" s="40" t="s">
        <v>676</v>
      </c>
      <c r="E292" s="40" t="s">
        <v>677</v>
      </c>
      <c r="F292" s="40">
        <v>7.6809525262741802</v>
      </c>
      <c r="G292" s="40">
        <v>42</v>
      </c>
      <c r="H292" s="40">
        <v>3500</v>
      </c>
      <c r="I292" s="40" t="s">
        <v>406</v>
      </c>
      <c r="J292" s="40" t="s">
        <v>407</v>
      </c>
      <c r="K292" s="40" t="s">
        <v>86</v>
      </c>
    </row>
    <row r="293" spans="1:13" x14ac:dyDescent="0.25">
      <c r="A293" s="40" t="s">
        <v>678</v>
      </c>
      <c r="B293" s="40" t="s">
        <v>7</v>
      </c>
      <c r="C293" s="40" t="s">
        <v>597</v>
      </c>
      <c r="E293" s="40" t="s">
        <v>456</v>
      </c>
      <c r="F293" s="40">
        <v>14.1285716465541</v>
      </c>
      <c r="G293" s="40">
        <v>56</v>
      </c>
      <c r="H293" s="40">
        <v>3500</v>
      </c>
      <c r="I293" s="40" t="s">
        <v>399</v>
      </c>
      <c r="J293" s="40" t="s">
        <v>401</v>
      </c>
      <c r="K293" s="40" t="s">
        <v>400</v>
      </c>
    </row>
    <row r="294" spans="1:13" x14ac:dyDescent="0.25">
      <c r="A294" s="40" t="s">
        <v>679</v>
      </c>
      <c r="B294" s="40" t="s">
        <v>7</v>
      </c>
      <c r="C294" s="40" t="s">
        <v>57</v>
      </c>
      <c r="E294" s="40" t="s">
        <v>680</v>
      </c>
      <c r="F294" s="40">
        <v>1.1777778201633</v>
      </c>
      <c r="G294" s="40">
        <v>9</v>
      </c>
      <c r="H294" s="40">
        <v>3500</v>
      </c>
      <c r="I294" s="40" t="s">
        <v>444</v>
      </c>
      <c r="J294" s="40" t="s">
        <v>445</v>
      </c>
      <c r="K294" s="40" t="s">
        <v>446</v>
      </c>
    </row>
    <row r="295" spans="1:13" x14ac:dyDescent="0.25">
      <c r="A295" s="40" t="s">
        <v>681</v>
      </c>
      <c r="B295" s="40" t="s">
        <v>5</v>
      </c>
      <c r="C295" s="40" t="s">
        <v>533</v>
      </c>
      <c r="E295" s="40" t="s">
        <v>366</v>
      </c>
      <c r="F295" s="40">
        <v>4.3888888888888804</v>
      </c>
      <c r="G295" s="40">
        <v>9</v>
      </c>
      <c r="H295" s="40">
        <v>3500</v>
      </c>
      <c r="I295" s="40" t="s">
        <v>428</v>
      </c>
      <c r="J295" s="40" t="s">
        <v>430</v>
      </c>
      <c r="K295" s="40" t="s">
        <v>429</v>
      </c>
    </row>
    <row r="296" spans="1:13" x14ac:dyDescent="0.25">
      <c r="A296" s="40" t="s">
        <v>682</v>
      </c>
      <c r="B296" s="40" t="s">
        <v>4</v>
      </c>
      <c r="C296" s="40" t="s">
        <v>683</v>
      </c>
      <c r="E296" s="40" t="s">
        <v>684</v>
      </c>
      <c r="F296" s="40">
        <v>4.0130436109459904</v>
      </c>
      <c r="G296" s="40">
        <v>23</v>
      </c>
      <c r="H296" s="40">
        <v>3500</v>
      </c>
      <c r="I296" s="40" t="s">
        <v>452</v>
      </c>
      <c r="J296" s="40" t="s">
        <v>453</v>
      </c>
      <c r="K296" s="40" t="s">
        <v>454</v>
      </c>
    </row>
    <row r="297" spans="1:13" x14ac:dyDescent="0.25">
      <c r="A297" s="40" t="s">
        <v>685</v>
      </c>
      <c r="B297" s="40" t="s">
        <v>6</v>
      </c>
      <c r="C297" s="40" t="s">
        <v>686</v>
      </c>
      <c r="E297" s="40" t="s">
        <v>494</v>
      </c>
      <c r="F297" s="40">
        <v>4.6750001907348597</v>
      </c>
      <c r="G297" s="40">
        <v>8</v>
      </c>
      <c r="H297" s="40">
        <v>3500</v>
      </c>
      <c r="I297" s="40" t="s">
        <v>399</v>
      </c>
      <c r="J297" s="40" t="s">
        <v>401</v>
      </c>
      <c r="K297" s="40" t="s">
        <v>400</v>
      </c>
    </row>
    <row r="298" spans="1:13" x14ac:dyDescent="0.25">
      <c r="A298" s="40" t="s">
        <v>687</v>
      </c>
      <c r="B298" s="40" t="s">
        <v>6</v>
      </c>
      <c r="C298" s="40" t="s">
        <v>373</v>
      </c>
      <c r="E298" s="40" t="s">
        <v>494</v>
      </c>
      <c r="F298" s="40">
        <v>6.4162160512563302</v>
      </c>
      <c r="G298" s="40">
        <v>37</v>
      </c>
      <c r="H298" s="40">
        <v>3500</v>
      </c>
      <c r="I298" s="40" t="s">
        <v>439</v>
      </c>
      <c r="J298" s="40" t="s">
        <v>440</v>
      </c>
      <c r="K298" s="40" t="s">
        <v>118</v>
      </c>
      <c r="L298" s="40" t="s">
        <v>48</v>
      </c>
      <c r="M298" s="40" t="s">
        <v>530</v>
      </c>
    </row>
    <row r="299" spans="1:13" x14ac:dyDescent="0.25">
      <c r="A299" s="40" t="s">
        <v>688</v>
      </c>
      <c r="B299" s="40" t="s">
        <v>7</v>
      </c>
      <c r="C299" s="40" t="s">
        <v>689</v>
      </c>
      <c r="E299" s="40" t="s">
        <v>690</v>
      </c>
      <c r="F299" s="40">
        <v>2.0549999237060499</v>
      </c>
      <c r="G299" s="40">
        <v>20</v>
      </c>
      <c r="H299" s="40">
        <v>3500</v>
      </c>
      <c r="I299" s="40" t="s">
        <v>425</v>
      </c>
      <c r="J299" s="40" t="s">
        <v>426</v>
      </c>
      <c r="K299" s="40" t="s">
        <v>427</v>
      </c>
    </row>
    <row r="300" spans="1:13" x14ac:dyDescent="0.25">
      <c r="A300" s="40" t="s">
        <v>691</v>
      </c>
      <c r="B300" s="40" t="s">
        <v>5</v>
      </c>
      <c r="C300" s="40" t="s">
        <v>89</v>
      </c>
      <c r="E300" s="40" t="s">
        <v>692</v>
      </c>
      <c r="F300" s="40">
        <v>5.8923075749323903</v>
      </c>
      <c r="G300" s="40">
        <v>13</v>
      </c>
      <c r="H300" s="40">
        <v>3500</v>
      </c>
      <c r="I300" s="40" t="s">
        <v>428</v>
      </c>
      <c r="J300" s="40" t="s">
        <v>429</v>
      </c>
      <c r="K300" s="40" t="s">
        <v>430</v>
      </c>
    </row>
    <row r="301" spans="1:13" x14ac:dyDescent="0.25">
      <c r="A301" s="40" t="s">
        <v>693</v>
      </c>
      <c r="B301" s="40" t="s">
        <v>5</v>
      </c>
      <c r="C301" s="40" t="s">
        <v>395</v>
      </c>
      <c r="E301" s="40" t="s">
        <v>396</v>
      </c>
      <c r="F301" s="40">
        <v>12.4773582602446</v>
      </c>
      <c r="G301" s="40">
        <v>53</v>
      </c>
      <c r="H301" s="40">
        <v>3500</v>
      </c>
      <c r="I301" s="40" t="s">
        <v>405</v>
      </c>
      <c r="J301" s="40" t="s">
        <v>354</v>
      </c>
      <c r="K301" s="40" t="s">
        <v>44</v>
      </c>
    </row>
    <row r="302" spans="1:13" x14ac:dyDescent="0.25">
      <c r="A302" s="40" t="s">
        <v>694</v>
      </c>
      <c r="B302" s="40" t="s">
        <v>3</v>
      </c>
      <c r="C302" s="40" t="s">
        <v>695</v>
      </c>
      <c r="E302" s="40" t="s">
        <v>696</v>
      </c>
      <c r="F302" s="40">
        <v>14.5857140677315</v>
      </c>
      <c r="G302" s="40">
        <v>56</v>
      </c>
      <c r="H302" s="40">
        <v>3500</v>
      </c>
      <c r="I302" s="40" t="s">
        <v>425</v>
      </c>
      <c r="J302" s="40" t="s">
        <v>427</v>
      </c>
      <c r="K302" s="40" t="s">
        <v>426</v>
      </c>
    </row>
    <row r="303" spans="1:13" x14ac:dyDescent="0.25">
      <c r="A303" s="40" t="s">
        <v>697</v>
      </c>
      <c r="B303" s="40" t="s">
        <v>3</v>
      </c>
      <c r="C303" s="40" t="s">
        <v>95</v>
      </c>
      <c r="E303" s="40" t="s">
        <v>173</v>
      </c>
      <c r="F303" s="40">
        <v>11.176923311673599</v>
      </c>
      <c r="G303" s="40">
        <v>52</v>
      </c>
      <c r="H303" s="40">
        <v>3500</v>
      </c>
      <c r="I303" s="40" t="s">
        <v>409</v>
      </c>
      <c r="J303" s="40" t="s">
        <v>88</v>
      </c>
      <c r="K303" s="40" t="s">
        <v>410</v>
      </c>
    </row>
    <row r="304" spans="1:13" x14ac:dyDescent="0.25">
      <c r="A304" s="40" t="s">
        <v>698</v>
      </c>
      <c r="B304" s="40" t="s">
        <v>4</v>
      </c>
      <c r="C304" s="40" t="s">
        <v>699</v>
      </c>
      <c r="E304" s="40" t="s">
        <v>700</v>
      </c>
      <c r="F304" s="40">
        <v>9.8000001298620294</v>
      </c>
      <c r="G304" s="40">
        <v>47</v>
      </c>
      <c r="H304" s="40">
        <v>3500</v>
      </c>
      <c r="I304" s="40" t="s">
        <v>452</v>
      </c>
      <c r="J304" s="40" t="s">
        <v>454</v>
      </c>
      <c r="K304" s="40" t="s">
        <v>453</v>
      </c>
    </row>
    <row r="305" spans="1:13" x14ac:dyDescent="0.25">
      <c r="A305" s="40" t="s">
        <v>701</v>
      </c>
      <c r="B305" s="40" t="s">
        <v>4</v>
      </c>
      <c r="C305" s="40" t="s">
        <v>702</v>
      </c>
      <c r="E305" s="40" t="s">
        <v>703</v>
      </c>
      <c r="F305" s="40">
        <v>8.21428571428571</v>
      </c>
      <c r="G305" s="40">
        <v>14</v>
      </c>
      <c r="H305" s="40">
        <v>3500</v>
      </c>
      <c r="I305" s="40" t="s">
        <v>402</v>
      </c>
      <c r="J305" s="40" t="s">
        <v>404</v>
      </c>
      <c r="K305" s="40" t="s">
        <v>403</v>
      </c>
    </row>
    <row r="306" spans="1:13" x14ac:dyDescent="0.25">
      <c r="A306" s="40" t="s">
        <v>704</v>
      </c>
      <c r="B306" s="40" t="s">
        <v>7</v>
      </c>
      <c r="C306" s="40" t="s">
        <v>581</v>
      </c>
      <c r="E306" s="40" t="s">
        <v>705</v>
      </c>
      <c r="F306" s="40">
        <v>8.1444444444444404</v>
      </c>
      <c r="G306" s="40">
        <v>45</v>
      </c>
      <c r="H306" s="40">
        <v>3500</v>
      </c>
      <c r="I306" s="40" t="s">
        <v>399</v>
      </c>
      <c r="J306" s="40" t="s">
        <v>400</v>
      </c>
      <c r="K306" s="40" t="s">
        <v>401</v>
      </c>
    </row>
    <row r="307" spans="1:13" x14ac:dyDescent="0.25">
      <c r="A307" s="40" t="s">
        <v>706</v>
      </c>
      <c r="B307" s="40" t="s">
        <v>3</v>
      </c>
      <c r="C307" s="40" t="s">
        <v>707</v>
      </c>
      <c r="E307" s="40" t="s">
        <v>708</v>
      </c>
      <c r="F307" s="40">
        <v>6.1666666666666599</v>
      </c>
      <c r="G307" s="40">
        <v>3</v>
      </c>
      <c r="H307" s="40">
        <v>3500</v>
      </c>
      <c r="I307" s="40" t="s">
        <v>412</v>
      </c>
      <c r="J307" s="40" t="s">
        <v>413</v>
      </c>
      <c r="K307" s="40" t="s">
        <v>414</v>
      </c>
    </row>
    <row r="308" spans="1:13" x14ac:dyDescent="0.25">
      <c r="A308" s="40" t="s">
        <v>709</v>
      </c>
      <c r="B308" s="40" t="s">
        <v>3</v>
      </c>
      <c r="C308" s="40" t="s">
        <v>710</v>
      </c>
      <c r="E308" s="40" t="s">
        <v>711</v>
      </c>
      <c r="F308" s="40">
        <v>4.5285715375627698</v>
      </c>
      <c r="G308" s="40">
        <v>28</v>
      </c>
      <c r="H308" s="40">
        <v>3500</v>
      </c>
      <c r="I308" s="40" t="s">
        <v>452</v>
      </c>
      <c r="J308" s="40" t="s">
        <v>454</v>
      </c>
      <c r="K308" s="40" t="s">
        <v>453</v>
      </c>
    </row>
    <row r="309" spans="1:13" x14ac:dyDescent="0.25">
      <c r="A309" s="40" t="s">
        <v>712</v>
      </c>
      <c r="B309" s="40" t="s">
        <v>6</v>
      </c>
      <c r="C309" s="40" t="s">
        <v>534</v>
      </c>
      <c r="E309" s="40" t="s">
        <v>713</v>
      </c>
      <c r="F309" s="40">
        <v>4.9571429661342004</v>
      </c>
      <c r="G309" s="40">
        <v>14</v>
      </c>
      <c r="H309" s="40">
        <v>3500</v>
      </c>
      <c r="I309" s="40" t="s">
        <v>406</v>
      </c>
      <c r="J309" s="40" t="s">
        <v>407</v>
      </c>
      <c r="K309" s="40" t="s">
        <v>86</v>
      </c>
    </row>
    <row r="310" spans="1:13" x14ac:dyDescent="0.25">
      <c r="A310" s="40" t="s">
        <v>714</v>
      </c>
      <c r="B310" s="40" t="s">
        <v>3</v>
      </c>
      <c r="C310" s="40" t="s">
        <v>377</v>
      </c>
      <c r="E310" s="40" t="s">
        <v>382</v>
      </c>
      <c r="F310" s="40">
        <v>8.3042550594248592</v>
      </c>
      <c r="G310" s="40">
        <v>47</v>
      </c>
      <c r="H310" s="40">
        <v>3500</v>
      </c>
      <c r="I310" s="40" t="s">
        <v>417</v>
      </c>
      <c r="J310" s="40" t="s">
        <v>418</v>
      </c>
      <c r="K310" s="40" t="s">
        <v>419</v>
      </c>
    </row>
    <row r="311" spans="1:13" x14ac:dyDescent="0.25">
      <c r="A311" s="40" t="s">
        <v>715</v>
      </c>
      <c r="B311" s="40" t="s">
        <v>4</v>
      </c>
      <c r="C311" s="40" t="s">
        <v>95</v>
      </c>
      <c r="E311" s="40" t="s">
        <v>716</v>
      </c>
      <c r="F311" s="40">
        <v>10.283721214117</v>
      </c>
      <c r="G311" s="40">
        <v>43</v>
      </c>
      <c r="H311" s="40">
        <v>3500</v>
      </c>
      <c r="I311" s="40" t="s">
        <v>428</v>
      </c>
      <c r="J311" s="40" t="s">
        <v>430</v>
      </c>
      <c r="K311" s="40" t="s">
        <v>429</v>
      </c>
    </row>
    <row r="312" spans="1:13" x14ac:dyDescent="0.25">
      <c r="A312" s="40" t="s">
        <v>717</v>
      </c>
      <c r="B312" s="40" t="s">
        <v>7</v>
      </c>
      <c r="C312" s="40" t="s">
        <v>68</v>
      </c>
      <c r="E312" s="40" t="s">
        <v>69</v>
      </c>
      <c r="F312" s="40">
        <v>15.6666666666666</v>
      </c>
      <c r="G312" s="40">
        <v>21</v>
      </c>
      <c r="H312" s="40">
        <v>3500</v>
      </c>
      <c r="I312" s="40" t="s">
        <v>405</v>
      </c>
      <c r="J312" s="40" t="s">
        <v>44</v>
      </c>
      <c r="K312" s="40" t="s">
        <v>354</v>
      </c>
      <c r="L312" s="40" t="s">
        <v>48</v>
      </c>
      <c r="M312" s="40" t="s">
        <v>65</v>
      </c>
    </row>
    <row r="313" spans="1:13" x14ac:dyDescent="0.25">
      <c r="A313" s="40" t="s">
        <v>718</v>
      </c>
      <c r="B313" s="40" t="s">
        <v>7</v>
      </c>
      <c r="C313" s="40" t="s">
        <v>99</v>
      </c>
      <c r="E313" s="40" t="s">
        <v>100</v>
      </c>
      <c r="F313" s="40">
        <v>12.397916158040299</v>
      </c>
      <c r="G313" s="40">
        <v>48</v>
      </c>
      <c r="H313" s="40">
        <v>3500</v>
      </c>
      <c r="I313" s="40" t="s">
        <v>406</v>
      </c>
      <c r="J313" s="40" t="s">
        <v>86</v>
      </c>
      <c r="K313" s="40" t="s">
        <v>407</v>
      </c>
    </row>
    <row r="314" spans="1:13" x14ac:dyDescent="0.25">
      <c r="A314" s="40" t="s">
        <v>719</v>
      </c>
      <c r="B314" s="40" t="s">
        <v>4</v>
      </c>
      <c r="C314" s="40" t="s">
        <v>720</v>
      </c>
      <c r="E314" s="40" t="s">
        <v>424</v>
      </c>
      <c r="F314" s="40">
        <v>11.119148416722</v>
      </c>
      <c r="G314" s="40">
        <v>47</v>
      </c>
      <c r="H314" s="40">
        <v>3500</v>
      </c>
      <c r="I314" s="40" t="s">
        <v>452</v>
      </c>
      <c r="J314" s="40" t="s">
        <v>453</v>
      </c>
      <c r="K314" s="40" t="s">
        <v>454</v>
      </c>
    </row>
    <row r="315" spans="1:13" x14ac:dyDescent="0.25">
      <c r="A315" s="40" t="s">
        <v>721</v>
      </c>
      <c r="B315" s="40" t="s">
        <v>3</v>
      </c>
      <c r="C315" s="40" t="s">
        <v>380</v>
      </c>
      <c r="E315" s="40" t="s">
        <v>381</v>
      </c>
      <c r="F315" s="40">
        <v>4.8249998092651296</v>
      </c>
      <c r="G315" s="40">
        <v>4</v>
      </c>
      <c r="H315" s="40">
        <v>3500</v>
      </c>
      <c r="I315" s="40" t="s">
        <v>421</v>
      </c>
      <c r="J315" s="40" t="s">
        <v>355</v>
      </c>
      <c r="K315" s="40" t="s">
        <v>422</v>
      </c>
    </row>
    <row r="316" spans="1:13" x14ac:dyDescent="0.25">
      <c r="A316" s="40" t="s">
        <v>722</v>
      </c>
      <c r="B316" s="40" t="s">
        <v>7</v>
      </c>
      <c r="C316" s="40" t="s">
        <v>71</v>
      </c>
      <c r="E316" s="40" t="s">
        <v>723</v>
      </c>
      <c r="F316" s="40">
        <v>8.4564099434094508</v>
      </c>
      <c r="G316" s="40">
        <v>39</v>
      </c>
      <c r="H316" s="40">
        <v>3500</v>
      </c>
      <c r="I316" s="40" t="s">
        <v>399</v>
      </c>
      <c r="J316" s="40" t="s">
        <v>400</v>
      </c>
      <c r="K316" s="40" t="s">
        <v>401</v>
      </c>
    </row>
    <row r="317" spans="1:13" x14ac:dyDescent="0.25">
      <c r="A317" s="40" t="s">
        <v>724</v>
      </c>
      <c r="B317" s="40" t="s">
        <v>3</v>
      </c>
      <c r="C317" s="40" t="s">
        <v>384</v>
      </c>
      <c r="E317" s="40" t="s">
        <v>385</v>
      </c>
      <c r="F317" s="40">
        <v>10.182222493489499</v>
      </c>
      <c r="G317" s="40">
        <v>45</v>
      </c>
      <c r="H317" s="40">
        <v>3500</v>
      </c>
      <c r="I317" s="40" t="s">
        <v>405</v>
      </c>
      <c r="J317" s="40" t="s">
        <v>354</v>
      </c>
      <c r="K317" s="40" t="s">
        <v>44</v>
      </c>
    </row>
    <row r="318" spans="1:13" x14ac:dyDescent="0.25">
      <c r="A318" s="40" t="s">
        <v>725</v>
      </c>
      <c r="B318" s="40" t="s">
        <v>7</v>
      </c>
      <c r="C318" s="40" t="s">
        <v>726</v>
      </c>
      <c r="E318" s="40" t="s">
        <v>727</v>
      </c>
      <c r="F318" s="40">
        <v>11.345238095238001</v>
      </c>
      <c r="G318" s="40">
        <v>42</v>
      </c>
      <c r="H318" s="40">
        <v>3500</v>
      </c>
      <c r="I318" s="40" t="s">
        <v>412</v>
      </c>
      <c r="J318" s="40" t="s">
        <v>414</v>
      </c>
      <c r="K318" s="40" t="s">
        <v>413</v>
      </c>
    </row>
    <row r="319" spans="1:13" x14ac:dyDescent="0.25">
      <c r="A319" s="40" t="s">
        <v>728</v>
      </c>
      <c r="B319" s="40" t="s">
        <v>4</v>
      </c>
      <c r="C319" s="40" t="s">
        <v>729</v>
      </c>
      <c r="E319" s="40" t="s">
        <v>730</v>
      </c>
      <c r="F319" s="40">
        <v>11.3416663275824</v>
      </c>
      <c r="G319" s="40">
        <v>36</v>
      </c>
      <c r="H319" s="40">
        <v>3500</v>
      </c>
      <c r="I319" s="40" t="s">
        <v>417</v>
      </c>
      <c r="J319" s="40" t="s">
        <v>419</v>
      </c>
      <c r="K319" s="40" t="s">
        <v>418</v>
      </c>
    </row>
    <row r="320" spans="1:13" x14ac:dyDescent="0.25">
      <c r="A320" s="40" t="s">
        <v>731</v>
      </c>
      <c r="B320" s="40" t="s">
        <v>5</v>
      </c>
      <c r="C320" s="40" t="s">
        <v>732</v>
      </c>
      <c r="E320" s="40" t="s">
        <v>733</v>
      </c>
      <c r="F320" s="40">
        <v>3.0058822631835902</v>
      </c>
      <c r="G320" s="40">
        <v>17</v>
      </c>
      <c r="H320" s="40">
        <v>3500</v>
      </c>
      <c r="I320" s="40" t="s">
        <v>439</v>
      </c>
      <c r="J320" s="40" t="s">
        <v>440</v>
      </c>
      <c r="K320" s="40" t="s">
        <v>118</v>
      </c>
    </row>
    <row r="321" spans="1:13" x14ac:dyDescent="0.25">
      <c r="A321" s="40" t="s">
        <v>734</v>
      </c>
      <c r="B321" s="40" t="s">
        <v>5</v>
      </c>
      <c r="C321" s="40" t="s">
        <v>461</v>
      </c>
      <c r="E321" s="40" t="s">
        <v>735</v>
      </c>
      <c r="F321" s="40">
        <v>9.3474998474121094</v>
      </c>
      <c r="G321" s="40">
        <v>40</v>
      </c>
      <c r="H321" s="40">
        <v>3500</v>
      </c>
      <c r="I321" s="40" t="s">
        <v>428</v>
      </c>
      <c r="J321" s="40" t="s">
        <v>430</v>
      </c>
      <c r="K321" s="40" t="s">
        <v>429</v>
      </c>
    </row>
    <row r="322" spans="1:13" x14ac:dyDescent="0.25">
      <c r="A322" s="40" t="s">
        <v>736</v>
      </c>
      <c r="B322" s="40" t="s">
        <v>7</v>
      </c>
      <c r="C322" s="40" t="s">
        <v>92</v>
      </c>
      <c r="E322" s="40" t="s">
        <v>168</v>
      </c>
      <c r="F322" s="40">
        <v>8.0500002774325292</v>
      </c>
      <c r="G322" s="40">
        <v>22</v>
      </c>
      <c r="H322" s="40">
        <v>3500</v>
      </c>
      <c r="I322" s="40" t="s">
        <v>409</v>
      </c>
      <c r="J322" s="40" t="s">
        <v>88</v>
      </c>
      <c r="K322" s="40" t="s">
        <v>410</v>
      </c>
    </row>
    <row r="323" spans="1:13" x14ac:dyDescent="0.25">
      <c r="A323" s="40" t="s">
        <v>737</v>
      </c>
      <c r="B323" s="40" t="s">
        <v>6</v>
      </c>
      <c r="C323" s="40" t="s">
        <v>738</v>
      </c>
      <c r="E323" s="40" t="s">
        <v>739</v>
      </c>
      <c r="F323" s="40">
        <v>11.9047619047619</v>
      </c>
      <c r="G323" s="40">
        <v>42</v>
      </c>
      <c r="H323" s="40">
        <v>3500</v>
      </c>
      <c r="I323" s="40" t="s">
        <v>417</v>
      </c>
      <c r="J323" s="40" t="s">
        <v>418</v>
      </c>
      <c r="K323" s="40" t="s">
        <v>419</v>
      </c>
    </row>
    <row r="324" spans="1:13" x14ac:dyDescent="0.25">
      <c r="A324" s="40" t="s">
        <v>740</v>
      </c>
      <c r="B324" s="40" t="s">
        <v>6</v>
      </c>
      <c r="C324" s="40" t="s">
        <v>741</v>
      </c>
      <c r="E324" s="40" t="s">
        <v>742</v>
      </c>
      <c r="F324" s="40">
        <v>8.5</v>
      </c>
      <c r="G324" s="40">
        <v>23</v>
      </c>
      <c r="H324" s="40">
        <v>3500</v>
      </c>
      <c r="I324" s="40" t="s">
        <v>444</v>
      </c>
      <c r="J324" s="40" t="s">
        <v>445</v>
      </c>
      <c r="K324" s="40" t="s">
        <v>446</v>
      </c>
    </row>
    <row r="325" spans="1:13" x14ac:dyDescent="0.25">
      <c r="A325" s="40" t="s">
        <v>743</v>
      </c>
      <c r="B325" s="40" t="s">
        <v>7</v>
      </c>
      <c r="C325" s="40" t="s">
        <v>744</v>
      </c>
      <c r="E325" s="40" t="s">
        <v>745</v>
      </c>
      <c r="F325" s="40">
        <v>5.3964287894112699</v>
      </c>
      <c r="G325" s="40">
        <v>28</v>
      </c>
      <c r="H325" s="40">
        <v>3500</v>
      </c>
      <c r="I325" s="40" t="s">
        <v>399</v>
      </c>
      <c r="J325" s="40" t="s">
        <v>401</v>
      </c>
      <c r="K325" s="40" t="s">
        <v>400</v>
      </c>
    </row>
    <row r="326" spans="1:13" x14ac:dyDescent="0.25">
      <c r="A326" s="40" t="s">
        <v>746</v>
      </c>
      <c r="B326" s="40" t="s">
        <v>5</v>
      </c>
      <c r="C326" s="40" t="s">
        <v>101</v>
      </c>
      <c r="E326" s="40" t="s">
        <v>102</v>
      </c>
      <c r="F326" s="40">
        <v>2.4055555131700301</v>
      </c>
      <c r="G326" s="40">
        <v>18</v>
      </c>
      <c r="H326" s="40">
        <v>3500</v>
      </c>
      <c r="I326" s="40" t="s">
        <v>435</v>
      </c>
      <c r="J326" s="40" t="s">
        <v>87</v>
      </c>
      <c r="K326" s="40" t="s">
        <v>436</v>
      </c>
    </row>
    <row r="327" spans="1:13" x14ac:dyDescent="0.25">
      <c r="A327" s="40" t="s">
        <v>747</v>
      </c>
      <c r="B327" s="40" t="s">
        <v>4</v>
      </c>
      <c r="C327" s="40" t="s">
        <v>46</v>
      </c>
      <c r="E327" s="40" t="s">
        <v>103</v>
      </c>
      <c r="F327" s="40">
        <v>10.897058823529401</v>
      </c>
      <c r="G327" s="40">
        <v>34</v>
      </c>
      <c r="H327" s="40">
        <v>3500</v>
      </c>
      <c r="I327" s="40" t="s">
        <v>435</v>
      </c>
      <c r="J327" s="40" t="s">
        <v>87</v>
      </c>
      <c r="K327" s="40" t="s">
        <v>436</v>
      </c>
    </row>
    <row r="328" spans="1:13" x14ac:dyDescent="0.25">
      <c r="A328" s="40" t="s">
        <v>748</v>
      </c>
      <c r="B328" s="40" t="s">
        <v>3</v>
      </c>
      <c r="C328" s="40" t="s">
        <v>77</v>
      </c>
      <c r="E328" s="40" t="s">
        <v>378</v>
      </c>
      <c r="F328" s="40">
        <v>1.5</v>
      </c>
      <c r="G328" s="40">
        <v>17</v>
      </c>
      <c r="H328" s="40">
        <v>3500</v>
      </c>
      <c r="I328" s="40" t="s">
        <v>402</v>
      </c>
      <c r="J328" s="40" t="s">
        <v>403</v>
      </c>
      <c r="K328" s="40" t="s">
        <v>404</v>
      </c>
    </row>
    <row r="329" spans="1:13" x14ac:dyDescent="0.25">
      <c r="A329" s="40" t="s">
        <v>749</v>
      </c>
      <c r="B329" s="40" t="s">
        <v>4</v>
      </c>
      <c r="C329" s="40" t="s">
        <v>750</v>
      </c>
      <c r="E329" s="40" t="s">
        <v>751</v>
      </c>
      <c r="F329" s="40">
        <v>5.5</v>
      </c>
      <c r="G329" s="40">
        <v>16</v>
      </c>
      <c r="H329" s="40">
        <v>3500</v>
      </c>
      <c r="I329" s="40" t="s">
        <v>402</v>
      </c>
      <c r="J329" s="40" t="s">
        <v>404</v>
      </c>
      <c r="K329" s="40" t="s">
        <v>403</v>
      </c>
    </row>
    <row r="330" spans="1:13" x14ac:dyDescent="0.25">
      <c r="A330" s="40" t="s">
        <v>752</v>
      </c>
      <c r="B330" s="40" t="s">
        <v>6</v>
      </c>
      <c r="C330" s="40" t="s">
        <v>359</v>
      </c>
      <c r="E330" s="40" t="s">
        <v>753</v>
      </c>
      <c r="F330" s="40">
        <v>6.8967742919921804</v>
      </c>
      <c r="G330" s="40">
        <v>31</v>
      </c>
      <c r="H330" s="40">
        <v>3500</v>
      </c>
      <c r="I330" s="40" t="s">
        <v>452</v>
      </c>
      <c r="J330" s="40" t="s">
        <v>454</v>
      </c>
      <c r="K330" s="40" t="s">
        <v>453</v>
      </c>
    </row>
    <row r="331" spans="1:13" x14ac:dyDescent="0.25">
      <c r="A331" s="40" t="s">
        <v>754</v>
      </c>
      <c r="B331" s="40" t="s">
        <v>3</v>
      </c>
      <c r="C331" s="40" t="s">
        <v>755</v>
      </c>
      <c r="E331" s="40" t="s">
        <v>756</v>
      </c>
      <c r="F331" s="40">
        <v>12.0619995117187</v>
      </c>
      <c r="G331" s="40">
        <v>50</v>
      </c>
      <c r="H331" s="40">
        <v>3500</v>
      </c>
      <c r="I331" s="40" t="s">
        <v>439</v>
      </c>
      <c r="J331" s="40" t="s">
        <v>440</v>
      </c>
      <c r="K331" s="40" t="s">
        <v>118</v>
      </c>
      <c r="L331" s="40" t="s">
        <v>48</v>
      </c>
      <c r="M331" s="40" t="s">
        <v>49</v>
      </c>
    </row>
    <row r="332" spans="1:13" x14ac:dyDescent="0.25">
      <c r="A332" s="40" t="s">
        <v>757</v>
      </c>
      <c r="B332" s="40" t="s">
        <v>5</v>
      </c>
      <c r="C332" s="40" t="s">
        <v>758</v>
      </c>
      <c r="E332" s="40" t="s">
        <v>517</v>
      </c>
      <c r="F332" s="40">
        <v>12.611764945235899</v>
      </c>
      <c r="G332" s="40">
        <v>51</v>
      </c>
      <c r="H332" s="40">
        <v>3500</v>
      </c>
      <c r="I332" s="40" t="s">
        <v>425</v>
      </c>
      <c r="J332" s="40" t="s">
        <v>426</v>
      </c>
      <c r="K332" s="40" t="s">
        <v>427</v>
      </c>
    </row>
    <row r="333" spans="1:13" x14ac:dyDescent="0.25">
      <c r="A333" s="40" t="s">
        <v>759</v>
      </c>
      <c r="B333" s="40" t="s">
        <v>5</v>
      </c>
      <c r="C333" s="40" t="s">
        <v>760</v>
      </c>
      <c r="E333" s="40" t="s">
        <v>761</v>
      </c>
      <c r="F333" s="40">
        <v>9.1385969195449501</v>
      </c>
      <c r="G333" s="40">
        <v>57</v>
      </c>
      <c r="H333" s="40">
        <v>3500</v>
      </c>
      <c r="I333" s="40" t="s">
        <v>402</v>
      </c>
      <c r="J333" s="40" t="s">
        <v>403</v>
      </c>
      <c r="K333" s="40" t="s">
        <v>404</v>
      </c>
    </row>
    <row r="334" spans="1:13" x14ac:dyDescent="0.25">
      <c r="A334" s="40" t="s">
        <v>762</v>
      </c>
      <c r="B334" s="40" t="s">
        <v>6</v>
      </c>
      <c r="C334" s="40" t="s">
        <v>361</v>
      </c>
      <c r="E334" s="40" t="s">
        <v>82</v>
      </c>
      <c r="F334" s="40">
        <v>15.5599997780539</v>
      </c>
      <c r="G334" s="40">
        <v>55</v>
      </c>
      <c r="H334" s="40">
        <v>3500</v>
      </c>
      <c r="I334" s="40" t="s">
        <v>405</v>
      </c>
      <c r="J334" s="40" t="s">
        <v>354</v>
      </c>
      <c r="K334" s="40" t="s">
        <v>44</v>
      </c>
    </row>
    <row r="335" spans="1:13" x14ac:dyDescent="0.25">
      <c r="A335" s="40" t="s">
        <v>763</v>
      </c>
      <c r="B335" s="40" t="s">
        <v>7</v>
      </c>
      <c r="C335" s="40" t="s">
        <v>379</v>
      </c>
      <c r="E335" s="40" t="s">
        <v>78</v>
      </c>
      <c r="F335" s="40">
        <v>4.1791667938232404</v>
      </c>
      <c r="G335" s="40">
        <v>24</v>
      </c>
      <c r="H335" s="40">
        <v>3500</v>
      </c>
      <c r="I335" s="40" t="s">
        <v>405</v>
      </c>
      <c r="J335" s="40" t="s">
        <v>354</v>
      </c>
      <c r="K335" s="40" t="s">
        <v>44</v>
      </c>
    </row>
    <row r="336" spans="1:13" x14ac:dyDescent="0.25">
      <c r="A336" s="40" t="s">
        <v>764</v>
      </c>
      <c r="B336" s="40" t="s">
        <v>4</v>
      </c>
      <c r="C336" s="40" t="s">
        <v>64</v>
      </c>
      <c r="E336" s="40" t="s">
        <v>765</v>
      </c>
      <c r="F336" s="40">
        <v>1.9333332909478</v>
      </c>
      <c r="G336" s="40">
        <v>9</v>
      </c>
      <c r="H336" s="40">
        <v>3500</v>
      </c>
      <c r="I336" s="40" t="s">
        <v>402</v>
      </c>
      <c r="J336" s="40" t="s">
        <v>403</v>
      </c>
      <c r="K336" s="40" t="s">
        <v>404</v>
      </c>
    </row>
    <row r="337" spans="1:13" x14ac:dyDescent="0.25">
      <c r="A337" s="40" t="s">
        <v>766</v>
      </c>
      <c r="B337" s="40" t="s">
        <v>6</v>
      </c>
      <c r="C337" s="40" t="s">
        <v>431</v>
      </c>
      <c r="E337" s="40" t="s">
        <v>767</v>
      </c>
      <c r="F337" s="40">
        <v>4.0374999046325604</v>
      </c>
      <c r="G337" s="40">
        <v>8</v>
      </c>
      <c r="H337" s="40">
        <v>3500</v>
      </c>
      <c r="I337" s="40" t="s">
        <v>425</v>
      </c>
      <c r="J337" s="40" t="s">
        <v>427</v>
      </c>
      <c r="K337" s="40" t="s">
        <v>426</v>
      </c>
    </row>
    <row r="338" spans="1:13" x14ac:dyDescent="0.25">
      <c r="A338" s="40" t="s">
        <v>768</v>
      </c>
      <c r="B338" s="40" t="s">
        <v>5</v>
      </c>
      <c r="C338" s="40" t="s">
        <v>58</v>
      </c>
      <c r="E338" s="40" t="s">
        <v>769</v>
      </c>
      <c r="F338" s="40">
        <v>1.61666663487752</v>
      </c>
      <c r="G338" s="40">
        <v>6</v>
      </c>
      <c r="H338" s="40">
        <v>3500</v>
      </c>
      <c r="I338" s="40" t="s">
        <v>435</v>
      </c>
      <c r="J338" s="40" t="s">
        <v>436</v>
      </c>
      <c r="K338" s="40" t="s">
        <v>87</v>
      </c>
    </row>
    <row r="339" spans="1:13" x14ac:dyDescent="0.25">
      <c r="A339" s="40" t="s">
        <v>770</v>
      </c>
      <c r="B339" s="40" t="s">
        <v>4</v>
      </c>
      <c r="C339" s="40" t="s">
        <v>511</v>
      </c>
      <c r="E339" s="40" t="s">
        <v>771</v>
      </c>
      <c r="F339" s="40">
        <v>11.745237804594399</v>
      </c>
      <c r="G339" s="40">
        <v>42</v>
      </c>
      <c r="H339" s="40">
        <v>3500</v>
      </c>
      <c r="I339" s="40" t="s">
        <v>406</v>
      </c>
      <c r="J339" s="40" t="s">
        <v>407</v>
      </c>
      <c r="K339" s="40" t="s">
        <v>86</v>
      </c>
      <c r="L339" s="40" t="s">
        <v>48</v>
      </c>
      <c r="M339" s="40" t="s">
        <v>65</v>
      </c>
    </row>
    <row r="340" spans="1:13" x14ac:dyDescent="0.25">
      <c r="A340" s="40" t="s">
        <v>772</v>
      </c>
      <c r="B340" s="40" t="s">
        <v>5</v>
      </c>
      <c r="C340" s="40" t="s">
        <v>359</v>
      </c>
      <c r="E340" s="40" t="s">
        <v>398</v>
      </c>
      <c r="F340" s="40">
        <v>15.0599997780539</v>
      </c>
      <c r="G340" s="40">
        <v>55</v>
      </c>
      <c r="H340" s="40">
        <v>3500</v>
      </c>
      <c r="I340" s="40" t="s">
        <v>425</v>
      </c>
      <c r="J340" s="40" t="s">
        <v>427</v>
      </c>
      <c r="K340" s="40" t="s">
        <v>426</v>
      </c>
    </row>
    <row r="341" spans="1:13" x14ac:dyDescent="0.25">
      <c r="A341" s="40" t="s">
        <v>773</v>
      </c>
      <c r="B341" s="40" t="s">
        <v>4</v>
      </c>
      <c r="C341" s="40" t="s">
        <v>79</v>
      </c>
      <c r="E341" s="40" t="s">
        <v>80</v>
      </c>
      <c r="F341" s="40">
        <v>3.2857142857142798</v>
      </c>
      <c r="G341" s="40">
        <v>14</v>
      </c>
      <c r="H341" s="40">
        <v>3500</v>
      </c>
      <c r="I341" s="40" t="s">
        <v>399</v>
      </c>
      <c r="J341" s="40" t="s">
        <v>400</v>
      </c>
      <c r="K341" s="40" t="s">
        <v>401</v>
      </c>
    </row>
    <row r="342" spans="1:13" x14ac:dyDescent="0.25">
      <c r="A342" s="40" t="s">
        <v>774</v>
      </c>
      <c r="B342" s="40" t="s">
        <v>3</v>
      </c>
      <c r="C342" s="40" t="s">
        <v>463</v>
      </c>
      <c r="E342" s="40" t="s">
        <v>775</v>
      </c>
      <c r="F342" s="40">
        <v>5.7777777777777697</v>
      </c>
      <c r="G342" s="40">
        <v>18</v>
      </c>
      <c r="H342" s="40">
        <v>3500</v>
      </c>
      <c r="I342" s="40" t="s">
        <v>425</v>
      </c>
      <c r="J342" s="40" t="s">
        <v>426</v>
      </c>
      <c r="K342" s="40" t="s">
        <v>427</v>
      </c>
    </row>
    <row r="343" spans="1:13" x14ac:dyDescent="0.25">
      <c r="A343" s="40" t="s">
        <v>776</v>
      </c>
      <c r="B343" s="40" t="s">
        <v>3</v>
      </c>
      <c r="C343" s="40" t="s">
        <v>777</v>
      </c>
      <c r="E343" s="40" t="s">
        <v>81</v>
      </c>
      <c r="F343" s="40">
        <v>10.963158055355599</v>
      </c>
      <c r="G343" s="40">
        <v>19</v>
      </c>
      <c r="H343" s="40">
        <v>3500</v>
      </c>
      <c r="I343" s="40" t="s">
        <v>399</v>
      </c>
      <c r="J343" s="40" t="s">
        <v>400</v>
      </c>
      <c r="K343" s="40" t="s">
        <v>401</v>
      </c>
    </row>
    <row r="344" spans="1:13" x14ac:dyDescent="0.25">
      <c r="A344" s="40" t="s">
        <v>778</v>
      </c>
      <c r="B344" s="40" t="s">
        <v>4</v>
      </c>
      <c r="C344" s="40" t="s">
        <v>92</v>
      </c>
      <c r="E344" s="40" t="s">
        <v>779</v>
      </c>
      <c r="F344" s="40">
        <v>9.4527774386935697</v>
      </c>
      <c r="G344" s="40">
        <v>36</v>
      </c>
      <c r="H344" s="40">
        <v>3500</v>
      </c>
      <c r="I344" s="40" t="s">
        <v>428</v>
      </c>
      <c r="J344" s="40" t="s">
        <v>429</v>
      </c>
      <c r="K344" s="40" t="s">
        <v>430</v>
      </c>
    </row>
    <row r="345" spans="1:13" x14ac:dyDescent="0.25">
      <c r="A345" s="40" t="s">
        <v>780</v>
      </c>
      <c r="B345" s="40" t="s">
        <v>7</v>
      </c>
      <c r="C345" s="40" t="s">
        <v>781</v>
      </c>
      <c r="E345" s="40" t="s">
        <v>782</v>
      </c>
      <c r="F345" s="40">
        <v>9.6346153846153797</v>
      </c>
      <c r="G345" s="40">
        <v>52</v>
      </c>
      <c r="H345" s="40">
        <v>3500</v>
      </c>
      <c r="I345" s="40" t="s">
        <v>435</v>
      </c>
      <c r="J345" s="40" t="s">
        <v>436</v>
      </c>
      <c r="K345" s="40" t="s">
        <v>87</v>
      </c>
    </row>
    <row r="346" spans="1:13" x14ac:dyDescent="0.25">
      <c r="A346" s="40" t="s">
        <v>783</v>
      </c>
      <c r="B346" s="40" t="s">
        <v>4</v>
      </c>
      <c r="C346" s="40" t="s">
        <v>97</v>
      </c>
      <c r="E346" s="40" t="s">
        <v>784</v>
      </c>
      <c r="F346" s="40">
        <v>14.046153533152999</v>
      </c>
      <c r="G346" s="40">
        <v>39</v>
      </c>
      <c r="H346" s="40">
        <v>3500</v>
      </c>
      <c r="I346" s="40" t="s">
        <v>435</v>
      </c>
      <c r="J346" s="40" t="s">
        <v>436</v>
      </c>
      <c r="K346" s="40" t="s">
        <v>87</v>
      </c>
    </row>
    <row r="347" spans="1:13" x14ac:dyDescent="0.25">
      <c r="A347" s="40" t="s">
        <v>785</v>
      </c>
      <c r="B347" s="40" t="s">
        <v>5</v>
      </c>
      <c r="C347" s="40" t="s">
        <v>94</v>
      </c>
      <c r="E347" s="40" t="s">
        <v>46</v>
      </c>
      <c r="F347" s="40">
        <v>8.3096776162424302</v>
      </c>
      <c r="G347" s="40">
        <v>31</v>
      </c>
      <c r="H347" s="40">
        <v>3500</v>
      </c>
      <c r="I347" s="40" t="s">
        <v>399</v>
      </c>
      <c r="J347" s="40" t="s">
        <v>401</v>
      </c>
      <c r="K347" s="40" t="s">
        <v>400</v>
      </c>
    </row>
    <row r="348" spans="1:13" x14ac:dyDescent="0.25">
      <c r="A348" s="40" t="s">
        <v>786</v>
      </c>
      <c r="B348" s="40" t="s">
        <v>3</v>
      </c>
      <c r="C348" s="40" t="s">
        <v>787</v>
      </c>
      <c r="E348" s="40" t="s">
        <v>788</v>
      </c>
      <c r="F348" s="40">
        <v>11.4033335367838</v>
      </c>
      <c r="G348" s="40">
        <v>30</v>
      </c>
      <c r="H348" s="40">
        <v>3500</v>
      </c>
      <c r="I348" s="40" t="s">
        <v>444</v>
      </c>
      <c r="J348" s="40" t="s">
        <v>445</v>
      </c>
      <c r="K348" s="40" t="s">
        <v>446</v>
      </c>
    </row>
    <row r="349" spans="1:13" x14ac:dyDescent="0.25">
      <c r="A349" s="40" t="s">
        <v>789</v>
      </c>
      <c r="B349" s="40" t="s">
        <v>4</v>
      </c>
      <c r="C349" s="40" t="s">
        <v>461</v>
      </c>
      <c r="E349" s="40" t="s">
        <v>790</v>
      </c>
      <c r="F349" s="40">
        <v>15.1000004982461</v>
      </c>
      <c r="G349" s="40">
        <v>49</v>
      </c>
      <c r="H349" s="40">
        <v>3500</v>
      </c>
      <c r="I349" s="40" t="s">
        <v>428</v>
      </c>
      <c r="J349" s="40" t="s">
        <v>430</v>
      </c>
      <c r="K349" s="40" t="s">
        <v>429</v>
      </c>
    </row>
    <row r="350" spans="1:13" x14ac:dyDescent="0.25">
      <c r="A350" s="40" t="s">
        <v>791</v>
      </c>
      <c r="B350" s="40" t="s">
        <v>7</v>
      </c>
      <c r="C350" s="40" t="s">
        <v>792</v>
      </c>
      <c r="E350" s="40" t="s">
        <v>793</v>
      </c>
      <c r="F350" s="40">
        <v>15.764583587646401</v>
      </c>
      <c r="G350" s="40">
        <v>48</v>
      </c>
      <c r="H350" s="40">
        <v>3500</v>
      </c>
      <c r="I350" s="40" t="s">
        <v>425</v>
      </c>
      <c r="J350" s="40" t="s">
        <v>426</v>
      </c>
      <c r="K350" s="40" t="s">
        <v>427</v>
      </c>
    </row>
    <row r="351" spans="1:13" x14ac:dyDescent="0.25">
      <c r="A351" s="40" t="s">
        <v>794</v>
      </c>
      <c r="B351" s="40" t="s">
        <v>3</v>
      </c>
      <c r="C351" s="40" t="s">
        <v>106</v>
      </c>
      <c r="E351" s="40" t="s">
        <v>107</v>
      </c>
      <c r="F351" s="40">
        <v>8.2041664123535103</v>
      </c>
      <c r="G351" s="40">
        <v>24</v>
      </c>
      <c r="H351" s="40">
        <v>3500</v>
      </c>
      <c r="I351" s="40" t="s">
        <v>435</v>
      </c>
      <c r="J351" s="40" t="s">
        <v>87</v>
      </c>
      <c r="K351" s="40" t="s">
        <v>436</v>
      </c>
    </row>
    <row r="352" spans="1:13" x14ac:dyDescent="0.25">
      <c r="A352" s="40" t="s">
        <v>795</v>
      </c>
      <c r="B352" s="40" t="s">
        <v>4</v>
      </c>
      <c r="C352" s="40" t="s">
        <v>108</v>
      </c>
      <c r="E352" s="40" t="s">
        <v>81</v>
      </c>
      <c r="F352" s="40">
        <v>7.4166666666666599</v>
      </c>
      <c r="G352" s="40">
        <v>12</v>
      </c>
      <c r="H352" s="40">
        <v>3500</v>
      </c>
      <c r="I352" s="40" t="s">
        <v>409</v>
      </c>
      <c r="J352" s="40" t="s">
        <v>88</v>
      </c>
      <c r="K352" s="40" t="s">
        <v>410</v>
      </c>
      <c r="L352" s="40" t="s">
        <v>48</v>
      </c>
      <c r="M352" s="40" t="s">
        <v>67</v>
      </c>
    </row>
    <row r="353" spans="1:11" x14ac:dyDescent="0.25">
      <c r="A353" s="40" t="s">
        <v>796</v>
      </c>
      <c r="B353" s="40" t="s">
        <v>3</v>
      </c>
      <c r="C353" s="40" t="s">
        <v>797</v>
      </c>
      <c r="E353" s="40" t="s">
        <v>798</v>
      </c>
      <c r="F353" s="40">
        <v>2</v>
      </c>
      <c r="G353" s="40">
        <v>2</v>
      </c>
      <c r="H353" s="40">
        <v>3500</v>
      </c>
      <c r="I353" s="40" t="s">
        <v>435</v>
      </c>
      <c r="J353" s="40" t="s">
        <v>436</v>
      </c>
      <c r="K353" s="40" t="s">
        <v>87</v>
      </c>
    </row>
    <row r="354" spans="1:11" x14ac:dyDescent="0.25">
      <c r="A354" s="40" t="s">
        <v>799</v>
      </c>
      <c r="B354" s="40" t="s">
        <v>6</v>
      </c>
      <c r="C354" s="40" t="s">
        <v>154</v>
      </c>
      <c r="E354" s="40" t="s">
        <v>155</v>
      </c>
      <c r="F354" s="40">
        <v>15.1160714285714</v>
      </c>
      <c r="G354" s="40">
        <v>56</v>
      </c>
      <c r="H354" s="40">
        <v>3500</v>
      </c>
      <c r="I354" s="40" t="s">
        <v>406</v>
      </c>
      <c r="J354" s="40" t="s">
        <v>86</v>
      </c>
      <c r="K354" s="40" t="s">
        <v>407</v>
      </c>
    </row>
    <row r="355" spans="1:11" x14ac:dyDescent="0.25">
      <c r="A355" s="40" t="s">
        <v>800</v>
      </c>
      <c r="B355" s="40" t="s">
        <v>7</v>
      </c>
      <c r="C355" s="40" t="s">
        <v>801</v>
      </c>
      <c r="E355" s="40" t="s">
        <v>802</v>
      </c>
      <c r="F355" s="40">
        <v>11.338095528738799</v>
      </c>
      <c r="G355" s="40">
        <v>42</v>
      </c>
      <c r="H355" s="40">
        <v>3500</v>
      </c>
      <c r="I355" s="40" t="s">
        <v>417</v>
      </c>
      <c r="J355" s="40" t="s">
        <v>419</v>
      </c>
      <c r="K355" s="40" t="s">
        <v>418</v>
      </c>
    </row>
    <row r="356" spans="1:11" x14ac:dyDescent="0.25">
      <c r="A356" s="40" t="s">
        <v>803</v>
      </c>
      <c r="B356" s="40" t="s">
        <v>5</v>
      </c>
      <c r="C356" s="40" t="s">
        <v>461</v>
      </c>
      <c r="E356" s="40" t="s">
        <v>804</v>
      </c>
      <c r="F356" s="40">
        <v>4.0461537287785401</v>
      </c>
      <c r="G356" s="40">
        <v>13</v>
      </c>
      <c r="H356" s="40">
        <v>3500</v>
      </c>
      <c r="I356" s="40" t="s">
        <v>409</v>
      </c>
      <c r="J356" s="40" t="s">
        <v>410</v>
      </c>
      <c r="K356" s="40" t="s">
        <v>88</v>
      </c>
    </row>
    <row r="357" spans="1:11" x14ac:dyDescent="0.25">
      <c r="A357" s="40" t="s">
        <v>805</v>
      </c>
      <c r="B357" s="40" t="s">
        <v>7</v>
      </c>
      <c r="C357" s="40" t="s">
        <v>806</v>
      </c>
      <c r="E357" s="40" t="s">
        <v>523</v>
      </c>
      <c r="F357" s="40">
        <v>3.8555556403266</v>
      </c>
      <c r="G357" s="40">
        <v>18</v>
      </c>
      <c r="H357" s="40">
        <v>3500</v>
      </c>
      <c r="I357" s="40" t="s">
        <v>409</v>
      </c>
      <c r="J357" s="40" t="s">
        <v>410</v>
      </c>
      <c r="K357" s="40" t="s">
        <v>88</v>
      </c>
    </row>
    <row r="358" spans="1:11" x14ac:dyDescent="0.25">
      <c r="A358" s="40" t="s">
        <v>807</v>
      </c>
      <c r="B358" s="40" t="s">
        <v>4</v>
      </c>
      <c r="C358" s="40" t="s">
        <v>75</v>
      </c>
      <c r="E358" s="40" t="s">
        <v>54</v>
      </c>
      <c r="F358" s="40">
        <v>4.92000007629394</v>
      </c>
      <c r="G358" s="40">
        <v>5</v>
      </c>
      <c r="H358" s="40">
        <v>3500</v>
      </c>
      <c r="I358" s="40" t="s">
        <v>409</v>
      </c>
      <c r="J358" s="40" t="s">
        <v>88</v>
      </c>
      <c r="K358" s="40" t="s">
        <v>410</v>
      </c>
    </row>
    <row r="359" spans="1:11" x14ac:dyDescent="0.25">
      <c r="A359" s="40" t="s">
        <v>808</v>
      </c>
      <c r="B359" s="40" t="s">
        <v>6</v>
      </c>
      <c r="C359" s="40" t="s">
        <v>441</v>
      </c>
      <c r="E359" s="40" t="s">
        <v>71</v>
      </c>
      <c r="F359" s="40">
        <v>4.1624999046325604</v>
      </c>
      <c r="G359" s="40">
        <v>8</v>
      </c>
      <c r="H359" s="40">
        <v>3500</v>
      </c>
      <c r="I359" s="40" t="s">
        <v>425</v>
      </c>
      <c r="J359" s="40" t="s">
        <v>426</v>
      </c>
      <c r="K359" s="40" t="s">
        <v>427</v>
      </c>
    </row>
    <row r="360" spans="1:11" x14ac:dyDescent="0.25">
      <c r="A360" s="40" t="s">
        <v>809</v>
      </c>
      <c r="B360" s="40" t="s">
        <v>7</v>
      </c>
      <c r="C360" s="40" t="s">
        <v>42</v>
      </c>
      <c r="E360" s="40" t="s">
        <v>72</v>
      </c>
      <c r="F360" s="40">
        <v>4.1088234396541798</v>
      </c>
      <c r="G360" s="40">
        <v>34</v>
      </c>
      <c r="H360" s="40">
        <v>3500</v>
      </c>
      <c r="I360" s="40" t="s">
        <v>405</v>
      </c>
      <c r="J360" s="40" t="s">
        <v>44</v>
      </c>
      <c r="K360" s="40" t="s">
        <v>354</v>
      </c>
    </row>
    <row r="361" spans="1:11" x14ac:dyDescent="0.25">
      <c r="A361" s="40" t="s">
        <v>810</v>
      </c>
      <c r="B361" s="40" t="s">
        <v>4</v>
      </c>
      <c r="C361" s="40" t="s">
        <v>162</v>
      </c>
      <c r="E361" s="40" t="s">
        <v>163</v>
      </c>
      <c r="F361" s="40">
        <v>5.2000002179826996</v>
      </c>
      <c r="G361" s="40">
        <v>7</v>
      </c>
      <c r="H361" s="40">
        <v>3500</v>
      </c>
      <c r="I361" s="40" t="s">
        <v>406</v>
      </c>
      <c r="J361" s="40" t="s">
        <v>86</v>
      </c>
      <c r="K361" s="40" t="s">
        <v>407</v>
      </c>
    </row>
    <row r="362" spans="1:11" x14ac:dyDescent="0.25">
      <c r="A362" s="40" t="s">
        <v>811</v>
      </c>
      <c r="B362" s="40" t="s">
        <v>5</v>
      </c>
      <c r="C362" s="40" t="s">
        <v>812</v>
      </c>
      <c r="E362" s="40" t="s">
        <v>813</v>
      </c>
      <c r="F362" s="40">
        <v>12.111321215359601</v>
      </c>
      <c r="G362" s="40">
        <v>53</v>
      </c>
      <c r="H362" s="40">
        <v>3500</v>
      </c>
      <c r="I362" s="40" t="s">
        <v>428</v>
      </c>
      <c r="J362" s="40" t="s">
        <v>429</v>
      </c>
      <c r="K362" s="40" t="s">
        <v>430</v>
      </c>
    </row>
    <row r="363" spans="1:11" x14ac:dyDescent="0.25">
      <c r="A363" s="40" t="s">
        <v>814</v>
      </c>
      <c r="B363" s="40" t="s">
        <v>6</v>
      </c>
      <c r="C363" s="40" t="s">
        <v>815</v>
      </c>
      <c r="E363" s="40" t="s">
        <v>816</v>
      </c>
      <c r="F363" s="40">
        <v>2.8333333333333299</v>
      </c>
      <c r="G363" s="40">
        <v>6</v>
      </c>
      <c r="H363" s="40">
        <v>3500</v>
      </c>
      <c r="I363" s="40" t="s">
        <v>428</v>
      </c>
      <c r="J363" s="40" t="s">
        <v>429</v>
      </c>
      <c r="K363" s="40" t="s">
        <v>430</v>
      </c>
    </row>
    <row r="364" spans="1:11" x14ac:dyDescent="0.25">
      <c r="A364" s="40" t="s">
        <v>817</v>
      </c>
      <c r="B364" s="40" t="s">
        <v>7</v>
      </c>
      <c r="C364" s="40" t="s">
        <v>506</v>
      </c>
      <c r="E364" s="40" t="s">
        <v>818</v>
      </c>
      <c r="F364" s="40">
        <v>9.4000004359653992</v>
      </c>
      <c r="G364" s="40">
        <v>14</v>
      </c>
      <c r="H364" s="40">
        <v>3500</v>
      </c>
      <c r="I364" s="40" t="s">
        <v>444</v>
      </c>
      <c r="J364" s="40" t="s">
        <v>445</v>
      </c>
      <c r="K364" s="40" t="s">
        <v>446</v>
      </c>
    </row>
    <row r="365" spans="1:11" x14ac:dyDescent="0.25">
      <c r="A365" s="40" t="s">
        <v>819</v>
      </c>
      <c r="B365" s="40" t="s">
        <v>6</v>
      </c>
      <c r="C365" s="40" t="s">
        <v>820</v>
      </c>
      <c r="E365" s="40" t="s">
        <v>821</v>
      </c>
      <c r="F365" s="40">
        <v>11.2863637750799</v>
      </c>
      <c r="G365" s="40">
        <v>22</v>
      </c>
      <c r="H365" s="40">
        <v>3500</v>
      </c>
      <c r="I365" s="40" t="s">
        <v>412</v>
      </c>
      <c r="J365" s="40" t="s">
        <v>413</v>
      </c>
      <c r="K365" s="40" t="s">
        <v>414</v>
      </c>
    </row>
    <row r="366" spans="1:11" x14ac:dyDescent="0.25">
      <c r="A366" s="40" t="s">
        <v>822</v>
      </c>
      <c r="B366" s="40" t="s">
        <v>4</v>
      </c>
      <c r="C366" s="40" t="s">
        <v>823</v>
      </c>
      <c r="E366" s="40" t="s">
        <v>411</v>
      </c>
      <c r="F366" s="40">
        <v>5.3679998779296803</v>
      </c>
      <c r="G366" s="40">
        <v>25</v>
      </c>
      <c r="H366" s="40">
        <v>3500</v>
      </c>
      <c r="I366" s="40" t="s">
        <v>412</v>
      </c>
      <c r="J366" s="40" t="s">
        <v>414</v>
      </c>
      <c r="K366" s="40" t="s">
        <v>413</v>
      </c>
    </row>
    <row r="367" spans="1:11" x14ac:dyDescent="0.25">
      <c r="A367" s="40" t="s">
        <v>824</v>
      </c>
      <c r="B367" s="40" t="s">
        <v>4</v>
      </c>
      <c r="C367" s="40" t="s">
        <v>825</v>
      </c>
      <c r="E367" s="40" t="s">
        <v>826</v>
      </c>
      <c r="F367" s="40">
        <v>6.1392854963030103</v>
      </c>
      <c r="G367" s="40">
        <v>28</v>
      </c>
      <c r="H367" s="40">
        <v>3500</v>
      </c>
      <c r="I367" s="40" t="s">
        <v>406</v>
      </c>
      <c r="J367" s="40" t="s">
        <v>407</v>
      </c>
      <c r="K367" s="40" t="s">
        <v>86</v>
      </c>
    </row>
    <row r="368" spans="1:11" x14ac:dyDescent="0.25">
      <c r="A368" s="40" t="s">
        <v>827</v>
      </c>
      <c r="B368" s="40" t="s">
        <v>6</v>
      </c>
      <c r="C368" s="40" t="s">
        <v>388</v>
      </c>
      <c r="E368" s="40" t="s">
        <v>389</v>
      </c>
      <c r="F368" s="40">
        <v>9.9393939393939394</v>
      </c>
      <c r="G368" s="40">
        <v>33</v>
      </c>
      <c r="H368" s="40">
        <v>3500</v>
      </c>
      <c r="I368" s="40" t="s">
        <v>421</v>
      </c>
      <c r="J368" s="40" t="s">
        <v>355</v>
      </c>
      <c r="K368" s="40" t="s">
        <v>422</v>
      </c>
    </row>
    <row r="369" spans="1:11" x14ac:dyDescent="0.25">
      <c r="A369" s="40" t="s">
        <v>828</v>
      </c>
      <c r="B369" s="40" t="s">
        <v>3</v>
      </c>
      <c r="C369" s="40" t="s">
        <v>829</v>
      </c>
      <c r="E369" s="40" t="s">
        <v>830</v>
      </c>
      <c r="F369" s="40">
        <v>8.4175003051757802</v>
      </c>
      <c r="G369" s="40">
        <v>40</v>
      </c>
      <c r="H369" s="40">
        <v>3500</v>
      </c>
      <c r="I369" s="40" t="s">
        <v>399</v>
      </c>
      <c r="J369" s="40" t="s">
        <v>400</v>
      </c>
      <c r="K369" s="40" t="s">
        <v>401</v>
      </c>
    </row>
    <row r="370" spans="1:11" x14ac:dyDescent="0.25">
      <c r="A370" s="40" t="s">
        <v>831</v>
      </c>
      <c r="B370" s="40" t="s">
        <v>5</v>
      </c>
      <c r="C370" s="40" t="s">
        <v>393</v>
      </c>
      <c r="E370" s="40" t="s">
        <v>394</v>
      </c>
      <c r="F370" s="40">
        <v>2.1666666666666599</v>
      </c>
      <c r="G370" s="40">
        <v>21</v>
      </c>
      <c r="H370" s="40">
        <v>3500</v>
      </c>
      <c r="I370" s="40" t="s">
        <v>405</v>
      </c>
      <c r="J370" s="40" t="s">
        <v>354</v>
      </c>
      <c r="K370" s="40" t="s">
        <v>44</v>
      </c>
    </row>
    <row r="371" spans="1:11" x14ac:dyDescent="0.25">
      <c r="A371" s="40" t="s">
        <v>832</v>
      </c>
      <c r="B371" s="40" t="s">
        <v>4</v>
      </c>
      <c r="C371" s="40" t="s">
        <v>171</v>
      </c>
      <c r="E371" s="40" t="s">
        <v>172</v>
      </c>
      <c r="F371" s="40">
        <v>11.081250508626299</v>
      </c>
      <c r="G371" s="40">
        <v>48</v>
      </c>
      <c r="H371" s="40">
        <v>3500</v>
      </c>
      <c r="I371" s="40" t="s">
        <v>439</v>
      </c>
      <c r="J371" s="40" t="s">
        <v>118</v>
      </c>
      <c r="K371" s="40" t="s">
        <v>440</v>
      </c>
    </row>
    <row r="372" spans="1:11" x14ac:dyDescent="0.25">
      <c r="A372" s="40" t="s">
        <v>833</v>
      </c>
      <c r="B372" s="40" t="s">
        <v>7</v>
      </c>
      <c r="C372" s="40" t="s">
        <v>397</v>
      </c>
      <c r="E372" s="40" t="s">
        <v>398</v>
      </c>
      <c r="F372" s="40">
        <v>9.30588217342601</v>
      </c>
      <c r="G372" s="40">
        <v>34</v>
      </c>
      <c r="H372" s="40">
        <v>3500</v>
      </c>
      <c r="I372" s="40" t="s">
        <v>421</v>
      </c>
      <c r="J372" s="40" t="s">
        <v>355</v>
      </c>
      <c r="K372" s="40" t="s">
        <v>422</v>
      </c>
    </row>
    <row r="373" spans="1:11" x14ac:dyDescent="0.25">
      <c r="A373" s="40" t="s">
        <v>834</v>
      </c>
      <c r="B373" s="40" t="s">
        <v>7</v>
      </c>
      <c r="C373" s="40" t="s">
        <v>835</v>
      </c>
      <c r="E373" s="40" t="s">
        <v>836</v>
      </c>
      <c r="F373" s="40">
        <v>3.9923078096829898</v>
      </c>
      <c r="G373" s="40">
        <v>26</v>
      </c>
      <c r="H373" s="40">
        <v>3500</v>
      </c>
      <c r="I373" s="40" t="s">
        <v>452</v>
      </c>
      <c r="J373" s="40" t="s">
        <v>453</v>
      </c>
      <c r="K373" s="40" t="s">
        <v>454</v>
      </c>
    </row>
    <row r="374" spans="1:11" x14ac:dyDescent="0.25">
      <c r="A374" s="40" t="s">
        <v>837</v>
      </c>
      <c r="B374" s="40" t="s">
        <v>4</v>
      </c>
      <c r="C374" s="40" t="s">
        <v>97</v>
      </c>
      <c r="E374" s="40" t="s">
        <v>158</v>
      </c>
      <c r="F374" s="40">
        <v>7.2636365023526199</v>
      </c>
      <c r="G374" s="40">
        <v>11</v>
      </c>
      <c r="H374" s="40">
        <v>3500</v>
      </c>
      <c r="I374" s="40" t="s">
        <v>439</v>
      </c>
      <c r="J374" s="40" t="s">
        <v>118</v>
      </c>
      <c r="K374" s="40" t="s">
        <v>440</v>
      </c>
    </row>
    <row r="375" spans="1:11" x14ac:dyDescent="0.25">
      <c r="A375" s="40" t="s">
        <v>838</v>
      </c>
      <c r="B375" s="40" t="s">
        <v>4</v>
      </c>
      <c r="C375" s="40" t="s">
        <v>441</v>
      </c>
      <c r="E375" s="40" t="s">
        <v>839</v>
      </c>
      <c r="F375" s="40">
        <v>2.7222222222222201</v>
      </c>
      <c r="G375" s="40">
        <v>9</v>
      </c>
      <c r="H375" s="40">
        <v>3500</v>
      </c>
      <c r="I375" s="40" t="s">
        <v>452</v>
      </c>
      <c r="J375" s="40" t="s">
        <v>454</v>
      </c>
      <c r="K375" s="40" t="s">
        <v>453</v>
      </c>
    </row>
    <row r="376" spans="1:11" x14ac:dyDescent="0.25">
      <c r="A376" s="40" t="s">
        <v>840</v>
      </c>
      <c r="B376" s="40" t="s">
        <v>7</v>
      </c>
      <c r="C376" s="40" t="s">
        <v>159</v>
      </c>
      <c r="E376" s="40" t="s">
        <v>91</v>
      </c>
      <c r="F376" s="40">
        <v>4.9380950927734304</v>
      </c>
      <c r="G376" s="40">
        <v>21</v>
      </c>
      <c r="H376" s="40">
        <v>3500</v>
      </c>
      <c r="I376" s="40" t="s">
        <v>406</v>
      </c>
      <c r="J376" s="40" t="s">
        <v>86</v>
      </c>
      <c r="K376" s="40" t="s">
        <v>407</v>
      </c>
    </row>
    <row r="377" spans="1:11" x14ac:dyDescent="0.25">
      <c r="A377" s="40" t="s">
        <v>841</v>
      </c>
      <c r="B377" s="40" t="s">
        <v>4</v>
      </c>
      <c r="C377" s="40" t="s">
        <v>535</v>
      </c>
      <c r="E377" s="40" t="s">
        <v>842</v>
      </c>
      <c r="F377" s="40">
        <v>4.8049999237060499</v>
      </c>
      <c r="G377" s="40">
        <v>20</v>
      </c>
      <c r="H377" s="40">
        <v>3500</v>
      </c>
      <c r="I377" s="40" t="s">
        <v>399</v>
      </c>
      <c r="J377" s="40" t="s">
        <v>401</v>
      </c>
      <c r="K377" s="40" t="s">
        <v>400</v>
      </c>
    </row>
    <row r="378" spans="1:11" x14ac:dyDescent="0.25">
      <c r="A378" s="40" t="s">
        <v>843</v>
      </c>
      <c r="B378" s="40" t="s">
        <v>4</v>
      </c>
      <c r="C378" s="40" t="s">
        <v>574</v>
      </c>
      <c r="E378" s="40" t="s">
        <v>844</v>
      </c>
      <c r="F378" s="40">
        <v>9.0914891019780502</v>
      </c>
      <c r="G378" s="40">
        <v>47</v>
      </c>
      <c r="H378" s="40">
        <v>3500</v>
      </c>
      <c r="I378" s="40" t="s">
        <v>452</v>
      </c>
      <c r="J378" s="40" t="s">
        <v>453</v>
      </c>
      <c r="K378" s="40" t="s">
        <v>454</v>
      </c>
    </row>
    <row r="379" spans="1:11" x14ac:dyDescent="0.25">
      <c r="A379" s="40" t="s">
        <v>845</v>
      </c>
      <c r="B379" s="40" t="s">
        <v>5</v>
      </c>
      <c r="C379" s="40" t="s">
        <v>726</v>
      </c>
      <c r="E379" s="40" t="s">
        <v>52</v>
      </c>
      <c r="F379" s="40">
        <v>10.3041667938232</v>
      </c>
      <c r="G379" s="40">
        <v>24</v>
      </c>
      <c r="H379" s="40">
        <v>3500</v>
      </c>
      <c r="I379" s="40" t="s">
        <v>412</v>
      </c>
      <c r="J379" s="40" t="s">
        <v>414</v>
      </c>
      <c r="K379" s="40" t="s">
        <v>413</v>
      </c>
    </row>
    <row r="380" spans="1:11" x14ac:dyDescent="0.25">
      <c r="A380" s="40" t="s">
        <v>846</v>
      </c>
      <c r="B380" s="40" t="s">
        <v>5</v>
      </c>
      <c r="C380" s="40" t="s">
        <v>847</v>
      </c>
      <c r="E380" s="40" t="s">
        <v>848</v>
      </c>
      <c r="F380" s="40">
        <v>1.07500004768371</v>
      </c>
      <c r="G380" s="40">
        <v>8</v>
      </c>
      <c r="H380" s="40">
        <v>3500</v>
      </c>
      <c r="I380" s="40" t="s">
        <v>417</v>
      </c>
      <c r="J380" s="40" t="s">
        <v>418</v>
      </c>
      <c r="K380" s="40" t="s">
        <v>419</v>
      </c>
    </row>
    <row r="381" spans="1:11" x14ac:dyDescent="0.25">
      <c r="A381" s="40" t="s">
        <v>849</v>
      </c>
      <c r="B381" s="40" t="s">
        <v>7</v>
      </c>
      <c r="C381" s="40" t="s">
        <v>384</v>
      </c>
      <c r="E381" s="40" t="s">
        <v>491</v>
      </c>
      <c r="F381" s="40">
        <v>1.8200000762939399</v>
      </c>
      <c r="G381" s="40">
        <v>5</v>
      </c>
      <c r="H381" s="40">
        <v>3500</v>
      </c>
      <c r="I381" s="40" t="s">
        <v>439</v>
      </c>
      <c r="J381" s="40" t="s">
        <v>440</v>
      </c>
      <c r="K381" s="40" t="s">
        <v>118</v>
      </c>
    </row>
    <row r="382" spans="1:11" x14ac:dyDescent="0.25">
      <c r="A382" s="40" t="s">
        <v>850</v>
      </c>
      <c r="B382" s="40" t="s">
        <v>3</v>
      </c>
      <c r="C382" s="40" t="s">
        <v>61</v>
      </c>
      <c r="E382" s="40" t="s">
        <v>491</v>
      </c>
      <c r="F382" s="40">
        <v>14.111321215359601</v>
      </c>
      <c r="G382" s="40">
        <v>53</v>
      </c>
      <c r="H382" s="40">
        <v>3500</v>
      </c>
      <c r="I382" s="40" t="s">
        <v>412</v>
      </c>
      <c r="J382" s="40" t="s">
        <v>414</v>
      </c>
      <c r="K382" s="40" t="s">
        <v>413</v>
      </c>
    </row>
    <row r="383" spans="1:11" x14ac:dyDescent="0.25">
      <c r="A383" s="40" t="s">
        <v>851</v>
      </c>
      <c r="B383" s="40" t="s">
        <v>5</v>
      </c>
      <c r="C383" s="40" t="s">
        <v>42</v>
      </c>
      <c r="E383" s="40" t="s">
        <v>78</v>
      </c>
      <c r="F383" s="40">
        <v>4.1444443596733898</v>
      </c>
      <c r="G383" s="40">
        <v>18</v>
      </c>
      <c r="H383" s="40">
        <v>3500</v>
      </c>
      <c r="I383" s="40" t="s">
        <v>421</v>
      </c>
      <c r="J383" s="40" t="s">
        <v>355</v>
      </c>
      <c r="K383" s="40" t="s">
        <v>422</v>
      </c>
    </row>
    <row r="384" spans="1:11" x14ac:dyDescent="0.25">
      <c r="A384" s="40" t="s">
        <v>852</v>
      </c>
      <c r="B384" s="40" t="s">
        <v>5</v>
      </c>
      <c r="C384" s="40" t="s">
        <v>853</v>
      </c>
      <c r="E384" s="40" t="s">
        <v>854</v>
      </c>
      <c r="F384" s="40">
        <v>10.442552931765199</v>
      </c>
      <c r="G384" s="40">
        <v>47</v>
      </c>
      <c r="H384" s="40">
        <v>3500</v>
      </c>
      <c r="I384" s="40" t="s">
        <v>399</v>
      </c>
      <c r="J384" s="40" t="s">
        <v>401</v>
      </c>
      <c r="K384" s="40" t="s">
        <v>400</v>
      </c>
    </row>
    <row r="385" spans="1:11" x14ac:dyDescent="0.25">
      <c r="A385" s="40" t="s">
        <v>855</v>
      </c>
      <c r="B385" s="40" t="s">
        <v>3</v>
      </c>
      <c r="C385" s="40" t="s">
        <v>382</v>
      </c>
      <c r="E385" s="40" t="s">
        <v>383</v>
      </c>
      <c r="F385" s="40">
        <v>12.97</v>
      </c>
      <c r="G385" s="40">
        <v>50</v>
      </c>
      <c r="H385" s="40">
        <v>3500</v>
      </c>
      <c r="I385" s="40" t="s">
        <v>421</v>
      </c>
      <c r="J385" s="40" t="s">
        <v>355</v>
      </c>
      <c r="K385" s="40" t="s">
        <v>422</v>
      </c>
    </row>
    <row r="386" spans="1:11" x14ac:dyDescent="0.25">
      <c r="A386" s="40" t="s">
        <v>856</v>
      </c>
      <c r="B386" s="40" t="s">
        <v>3</v>
      </c>
      <c r="C386" s="40" t="s">
        <v>388</v>
      </c>
      <c r="E386" s="40" t="s">
        <v>857</v>
      </c>
      <c r="F386" s="40">
        <v>3.8645162274760501</v>
      </c>
      <c r="G386" s="40">
        <v>31</v>
      </c>
      <c r="H386" s="40">
        <v>3500</v>
      </c>
      <c r="I386" s="40" t="s">
        <v>402</v>
      </c>
      <c r="J386" s="40" t="s">
        <v>403</v>
      </c>
      <c r="K386" s="40" t="s">
        <v>404</v>
      </c>
    </row>
    <row r="387" spans="1:11" x14ac:dyDescent="0.25">
      <c r="A387" s="40" t="s">
        <v>858</v>
      </c>
      <c r="B387" s="40" t="s">
        <v>3</v>
      </c>
      <c r="C387" s="40" t="s">
        <v>498</v>
      </c>
      <c r="E387" s="40" t="s">
        <v>859</v>
      </c>
      <c r="F387" s="40">
        <v>20.924390839367302</v>
      </c>
      <c r="G387" s="40">
        <v>41</v>
      </c>
      <c r="H387" s="40">
        <v>3500</v>
      </c>
      <c r="I387" s="40" t="s">
        <v>412</v>
      </c>
      <c r="J387" s="40" t="s">
        <v>413</v>
      </c>
      <c r="K387" s="40" t="s">
        <v>414</v>
      </c>
    </row>
    <row r="388" spans="1:11" x14ac:dyDescent="0.25">
      <c r="A388" s="40" t="s">
        <v>860</v>
      </c>
      <c r="B388" s="40" t="s">
        <v>3</v>
      </c>
      <c r="C388" s="40" t="s">
        <v>861</v>
      </c>
      <c r="E388" s="40" t="s">
        <v>862</v>
      </c>
      <c r="F388" s="40">
        <v>17.020369918258101</v>
      </c>
      <c r="G388" s="40">
        <v>54</v>
      </c>
      <c r="H388" s="40">
        <v>3500</v>
      </c>
      <c r="I388" s="40" t="s">
        <v>425</v>
      </c>
      <c r="J388" s="40" t="s">
        <v>426</v>
      </c>
      <c r="K388" s="40" t="s">
        <v>427</v>
      </c>
    </row>
    <row r="389" spans="1:11" x14ac:dyDescent="0.25">
      <c r="A389" s="40" t="s">
        <v>863</v>
      </c>
      <c r="B389" s="40" t="s">
        <v>7</v>
      </c>
      <c r="C389" s="40" t="s">
        <v>864</v>
      </c>
      <c r="E389" s="40" t="s">
        <v>98</v>
      </c>
      <c r="F389" s="40">
        <v>2.9333333969116202</v>
      </c>
      <c r="G389" s="40">
        <v>3</v>
      </c>
      <c r="H389" s="40">
        <v>3500</v>
      </c>
      <c r="I389" s="40" t="s">
        <v>428</v>
      </c>
      <c r="J389" s="40" t="s">
        <v>430</v>
      </c>
      <c r="K389" s="40" t="s">
        <v>429</v>
      </c>
    </row>
    <row r="390" spans="1:11" x14ac:dyDescent="0.25">
      <c r="A390" s="40" t="s">
        <v>865</v>
      </c>
      <c r="B390" s="40" t="s">
        <v>3</v>
      </c>
      <c r="C390" s="40" t="s">
        <v>170</v>
      </c>
      <c r="E390" s="40" t="s">
        <v>72</v>
      </c>
      <c r="F390" s="40">
        <v>8.5411762910730697</v>
      </c>
      <c r="G390" s="40">
        <v>34</v>
      </c>
      <c r="H390" s="40">
        <v>3500</v>
      </c>
      <c r="I390" s="40" t="s">
        <v>409</v>
      </c>
      <c r="J390" s="40" t="s">
        <v>88</v>
      </c>
      <c r="K390" s="40" t="s">
        <v>410</v>
      </c>
    </row>
    <row r="391" spans="1:11" x14ac:dyDescent="0.25">
      <c r="A391" s="40" t="s">
        <v>866</v>
      </c>
      <c r="B391" s="40" t="s">
        <v>6</v>
      </c>
      <c r="C391" s="40" t="s">
        <v>867</v>
      </c>
      <c r="E391" s="40" t="s">
        <v>868</v>
      </c>
      <c r="F391" s="40">
        <v>3.52941176470588</v>
      </c>
      <c r="G391" s="40">
        <v>17</v>
      </c>
      <c r="H391" s="40">
        <v>3500</v>
      </c>
      <c r="I391" s="40" t="s">
        <v>444</v>
      </c>
      <c r="J391" s="40" t="s">
        <v>446</v>
      </c>
      <c r="K391" s="40" t="s">
        <v>445</v>
      </c>
    </row>
    <row r="392" spans="1:11" x14ac:dyDescent="0.25">
      <c r="A392" s="40" t="s">
        <v>869</v>
      </c>
      <c r="B392" s="40" t="s">
        <v>4</v>
      </c>
      <c r="C392" s="40" t="s">
        <v>83</v>
      </c>
      <c r="E392" s="40" t="s">
        <v>392</v>
      </c>
      <c r="F392" s="40">
        <v>10.3537032515914</v>
      </c>
      <c r="G392" s="40">
        <v>54</v>
      </c>
      <c r="H392" s="40">
        <v>3500</v>
      </c>
      <c r="I392" s="40" t="s">
        <v>421</v>
      </c>
      <c r="J392" s="40" t="s">
        <v>355</v>
      </c>
      <c r="K392" s="40" t="s">
        <v>422</v>
      </c>
    </row>
    <row r="393" spans="1:11" x14ac:dyDescent="0.25">
      <c r="A393" s="40" t="s">
        <v>870</v>
      </c>
      <c r="B393" s="40" t="s">
        <v>3</v>
      </c>
      <c r="C393" s="40" t="s">
        <v>871</v>
      </c>
      <c r="E393" s="40" t="s">
        <v>872</v>
      </c>
      <c r="F393" s="40">
        <v>18.3540002441406</v>
      </c>
      <c r="G393" s="40">
        <v>50</v>
      </c>
      <c r="H393" s="40">
        <v>3500</v>
      </c>
      <c r="I393" s="40" t="s">
        <v>421</v>
      </c>
      <c r="J393" s="40" t="s">
        <v>422</v>
      </c>
      <c r="K393" s="40" t="s">
        <v>355</v>
      </c>
    </row>
    <row r="394" spans="1:11" x14ac:dyDescent="0.25">
      <c r="A394" s="40" t="s">
        <v>873</v>
      </c>
      <c r="B394" s="40" t="s">
        <v>6</v>
      </c>
      <c r="C394" s="40" t="s">
        <v>874</v>
      </c>
      <c r="E394" s="40" t="s">
        <v>875</v>
      </c>
      <c r="F394" s="40">
        <v>17.7222222222222</v>
      </c>
      <c r="G394" s="40">
        <v>45</v>
      </c>
      <c r="H394" s="40">
        <v>3500</v>
      </c>
      <c r="I394" s="40" t="s">
        <v>452</v>
      </c>
      <c r="J394" s="40" t="s">
        <v>453</v>
      </c>
      <c r="K394" s="40" t="s">
        <v>454</v>
      </c>
    </row>
    <row r="395" spans="1:11" x14ac:dyDescent="0.25">
      <c r="A395" s="40" t="s">
        <v>876</v>
      </c>
      <c r="B395" s="40" t="s">
        <v>6</v>
      </c>
      <c r="C395" s="40" t="s">
        <v>877</v>
      </c>
      <c r="E395" s="40" t="s">
        <v>878</v>
      </c>
      <c r="F395" s="40">
        <v>3.20000004768371</v>
      </c>
      <c r="G395" s="40">
        <v>1</v>
      </c>
      <c r="H395" s="40">
        <v>3500</v>
      </c>
      <c r="I395" s="40" t="s">
        <v>428</v>
      </c>
      <c r="J395" s="40" t="s">
        <v>430</v>
      </c>
      <c r="K395" s="40" t="s">
        <v>429</v>
      </c>
    </row>
    <row r="396" spans="1:11" x14ac:dyDescent="0.25">
      <c r="A396" s="40" t="s">
        <v>879</v>
      </c>
      <c r="B396" s="40" t="s">
        <v>3</v>
      </c>
      <c r="C396" s="40" t="s">
        <v>514</v>
      </c>
      <c r="E396" s="40" t="s">
        <v>880</v>
      </c>
      <c r="F396" s="40">
        <v>11.910908647016999</v>
      </c>
      <c r="G396" s="40">
        <v>55</v>
      </c>
      <c r="H396" s="40">
        <v>3500</v>
      </c>
      <c r="I396" s="40" t="s">
        <v>428</v>
      </c>
      <c r="J396" s="40" t="s">
        <v>430</v>
      </c>
      <c r="K396" s="40" t="s">
        <v>429</v>
      </c>
    </row>
    <row r="397" spans="1:11" x14ac:dyDescent="0.25">
      <c r="A397" s="40" t="s">
        <v>881</v>
      </c>
      <c r="B397" s="40" t="s">
        <v>3</v>
      </c>
      <c r="C397" s="40" t="s">
        <v>882</v>
      </c>
      <c r="E397" s="40" t="s">
        <v>70</v>
      </c>
      <c r="F397" s="40">
        <v>9.7882349350873099</v>
      </c>
      <c r="G397" s="40">
        <v>17</v>
      </c>
      <c r="H397" s="40">
        <v>3500</v>
      </c>
      <c r="I397" s="40" t="s">
        <v>444</v>
      </c>
      <c r="J397" s="40" t="s">
        <v>446</v>
      </c>
      <c r="K397" s="40" t="s">
        <v>445</v>
      </c>
    </row>
    <row r="398" spans="1:11" x14ac:dyDescent="0.25">
      <c r="A398" s="40" t="s">
        <v>883</v>
      </c>
      <c r="B398" s="40" t="s">
        <v>6</v>
      </c>
      <c r="C398" s="40" t="s">
        <v>96</v>
      </c>
      <c r="E398" s="40" t="s">
        <v>884</v>
      </c>
      <c r="F398" s="40">
        <v>12.9489356507646</v>
      </c>
      <c r="G398" s="40">
        <v>47</v>
      </c>
      <c r="H398" s="40">
        <v>3500</v>
      </c>
      <c r="I398" s="40" t="s">
        <v>402</v>
      </c>
      <c r="J398" s="40" t="s">
        <v>404</v>
      </c>
      <c r="K398" s="40" t="s">
        <v>403</v>
      </c>
    </row>
    <row r="399" spans="1:11" x14ac:dyDescent="0.25">
      <c r="A399" s="40" t="s">
        <v>885</v>
      </c>
      <c r="B399" s="40" t="s">
        <v>5</v>
      </c>
      <c r="C399" s="40" t="s">
        <v>71</v>
      </c>
      <c r="E399" s="40" t="s">
        <v>378</v>
      </c>
      <c r="F399" s="40">
        <v>9.1454544067382795</v>
      </c>
      <c r="G399" s="40">
        <v>11</v>
      </c>
      <c r="H399" s="40">
        <v>3500</v>
      </c>
      <c r="I399" s="40" t="s">
        <v>425</v>
      </c>
      <c r="J399" s="40" t="s">
        <v>427</v>
      </c>
      <c r="K399" s="40" t="s">
        <v>426</v>
      </c>
    </row>
    <row r="400" spans="1:11" x14ac:dyDescent="0.25">
      <c r="A400" s="40" t="s">
        <v>886</v>
      </c>
      <c r="B400" s="40" t="s">
        <v>5</v>
      </c>
      <c r="C400" s="40" t="s">
        <v>509</v>
      </c>
      <c r="E400" s="40" t="s">
        <v>887</v>
      </c>
      <c r="F400" s="40">
        <v>13.300000190734799</v>
      </c>
      <c r="G400" s="40">
        <v>1</v>
      </c>
      <c r="H400" s="40">
        <v>3500</v>
      </c>
      <c r="I400" s="40" t="s">
        <v>399</v>
      </c>
      <c r="J400" s="40" t="s">
        <v>400</v>
      </c>
      <c r="K400" s="40" t="s">
        <v>401</v>
      </c>
    </row>
    <row r="401" spans="1:13" x14ac:dyDescent="0.25">
      <c r="A401" s="40" t="s">
        <v>888</v>
      </c>
      <c r="B401" s="40" t="s">
        <v>4</v>
      </c>
      <c r="C401" s="40" t="s">
        <v>464</v>
      </c>
      <c r="E401" s="40" t="s">
        <v>73</v>
      </c>
      <c r="F401" s="40">
        <v>16.194545676491401</v>
      </c>
      <c r="G401" s="40">
        <v>55</v>
      </c>
      <c r="H401" s="40">
        <v>3500</v>
      </c>
      <c r="I401" s="40" t="s">
        <v>444</v>
      </c>
      <c r="J401" s="40" t="s">
        <v>446</v>
      </c>
      <c r="K401" s="40" t="s">
        <v>445</v>
      </c>
    </row>
    <row r="402" spans="1:13" x14ac:dyDescent="0.25">
      <c r="A402" s="40" t="s">
        <v>889</v>
      </c>
      <c r="B402" s="40" t="s">
        <v>3</v>
      </c>
      <c r="C402" s="40" t="s">
        <v>890</v>
      </c>
      <c r="E402" s="40" t="s">
        <v>74</v>
      </c>
      <c r="F402" s="40">
        <v>7.75</v>
      </c>
      <c r="G402" s="40">
        <v>8</v>
      </c>
      <c r="H402" s="40">
        <v>3500</v>
      </c>
      <c r="I402" s="40" t="s">
        <v>421</v>
      </c>
      <c r="J402" s="40" t="s">
        <v>422</v>
      </c>
      <c r="K402" s="40" t="s">
        <v>355</v>
      </c>
    </row>
    <row r="403" spans="1:13" x14ac:dyDescent="0.25">
      <c r="A403" s="40" t="s">
        <v>891</v>
      </c>
      <c r="B403" s="40" t="s">
        <v>6</v>
      </c>
      <c r="C403" s="40" t="s">
        <v>386</v>
      </c>
      <c r="E403" s="40" t="s">
        <v>387</v>
      </c>
      <c r="F403" s="40">
        <v>3.5833333333333299</v>
      </c>
      <c r="G403" s="40">
        <v>6</v>
      </c>
      <c r="H403" s="40">
        <v>3500</v>
      </c>
      <c r="I403" s="40" t="s">
        <v>405</v>
      </c>
      <c r="J403" s="40" t="s">
        <v>354</v>
      </c>
      <c r="K403" s="40" t="s">
        <v>44</v>
      </c>
    </row>
    <row r="404" spans="1:13" x14ac:dyDescent="0.25">
      <c r="A404" s="40" t="s">
        <v>892</v>
      </c>
      <c r="B404" s="40" t="s">
        <v>7</v>
      </c>
      <c r="C404" s="40" t="s">
        <v>893</v>
      </c>
      <c r="E404" s="40" t="s">
        <v>894</v>
      </c>
      <c r="F404" s="40">
        <v>14.2907409667968</v>
      </c>
      <c r="G404" s="40">
        <v>54</v>
      </c>
      <c r="H404" s="40">
        <v>3500</v>
      </c>
      <c r="I404" s="40" t="s">
        <v>412</v>
      </c>
      <c r="J404" s="40" t="s">
        <v>413</v>
      </c>
      <c r="K404" s="40" t="s">
        <v>414</v>
      </c>
    </row>
    <row r="405" spans="1:13" x14ac:dyDescent="0.25">
      <c r="A405" s="40" t="s">
        <v>895</v>
      </c>
      <c r="B405" s="40" t="s">
        <v>7</v>
      </c>
      <c r="C405" s="40" t="s">
        <v>75</v>
      </c>
      <c r="E405" s="40" t="s">
        <v>76</v>
      </c>
      <c r="F405" s="40">
        <v>7.0914284842354904</v>
      </c>
      <c r="G405" s="40">
        <v>35</v>
      </c>
      <c r="H405" s="40">
        <v>3500</v>
      </c>
      <c r="I405" s="40" t="s">
        <v>405</v>
      </c>
      <c r="J405" s="40" t="s">
        <v>44</v>
      </c>
      <c r="K405" s="40" t="s">
        <v>354</v>
      </c>
    </row>
    <row r="406" spans="1:13" x14ac:dyDescent="0.25">
      <c r="A406" s="40" t="s">
        <v>896</v>
      </c>
      <c r="B406" s="40" t="s">
        <v>4</v>
      </c>
      <c r="C406" s="40" t="s">
        <v>897</v>
      </c>
      <c r="E406" s="40" t="s">
        <v>898</v>
      </c>
      <c r="F406" s="40">
        <v>9.2624999999999993</v>
      </c>
      <c r="G406" s="40">
        <v>40</v>
      </c>
      <c r="H406" s="40">
        <v>3500</v>
      </c>
      <c r="I406" s="40" t="s">
        <v>412</v>
      </c>
      <c r="J406" s="40" t="s">
        <v>414</v>
      </c>
      <c r="K406" s="40" t="s">
        <v>413</v>
      </c>
    </row>
    <row r="407" spans="1:13" x14ac:dyDescent="0.25">
      <c r="A407" s="40" t="s">
        <v>899</v>
      </c>
      <c r="B407" s="40" t="s">
        <v>3</v>
      </c>
      <c r="C407" s="40" t="s">
        <v>174</v>
      </c>
      <c r="E407" s="40" t="s">
        <v>113</v>
      </c>
      <c r="F407" s="40">
        <v>4.6999998092651296</v>
      </c>
      <c r="G407" s="40">
        <v>1</v>
      </c>
      <c r="H407" s="40">
        <v>3500</v>
      </c>
      <c r="I407" s="40" t="s">
        <v>439</v>
      </c>
      <c r="J407" s="40" t="s">
        <v>118</v>
      </c>
      <c r="K407" s="40" t="s">
        <v>440</v>
      </c>
    </row>
    <row r="408" spans="1:13" x14ac:dyDescent="0.25">
      <c r="A408" s="40" t="s">
        <v>900</v>
      </c>
      <c r="B408" s="40" t="s">
        <v>3</v>
      </c>
      <c r="C408" s="40" t="s">
        <v>45</v>
      </c>
      <c r="E408" s="40" t="s">
        <v>901</v>
      </c>
      <c r="F408" s="40">
        <v>14.531914893617</v>
      </c>
      <c r="G408" s="40">
        <v>47</v>
      </c>
      <c r="H408" s="40">
        <v>3500</v>
      </c>
      <c r="I408" s="40" t="s">
        <v>417</v>
      </c>
      <c r="J408" s="40" t="s">
        <v>419</v>
      </c>
      <c r="K408" s="40" t="s">
        <v>418</v>
      </c>
    </row>
    <row r="409" spans="1:13" x14ac:dyDescent="0.25">
      <c r="A409" s="40" t="s">
        <v>902</v>
      </c>
      <c r="B409" s="40" t="s">
        <v>4</v>
      </c>
      <c r="C409" s="40" t="s">
        <v>903</v>
      </c>
      <c r="E409" s="40" t="s">
        <v>904</v>
      </c>
      <c r="F409" s="40">
        <v>2.6000001089913498</v>
      </c>
      <c r="G409" s="40">
        <v>14</v>
      </c>
      <c r="H409" s="40">
        <v>3500</v>
      </c>
      <c r="I409" s="40" t="s">
        <v>444</v>
      </c>
      <c r="J409" s="40" t="s">
        <v>445</v>
      </c>
      <c r="K409" s="40" t="s">
        <v>446</v>
      </c>
    </row>
    <row r="410" spans="1:13" x14ac:dyDescent="0.25">
      <c r="A410" s="40" t="s">
        <v>905</v>
      </c>
      <c r="B410" s="40" t="s">
        <v>4</v>
      </c>
      <c r="C410" s="40" t="s">
        <v>906</v>
      </c>
      <c r="E410" s="40" t="s">
        <v>907</v>
      </c>
      <c r="F410" s="40">
        <v>14.641935286983299</v>
      </c>
      <c r="G410" s="40">
        <v>31</v>
      </c>
      <c r="H410" s="40">
        <v>3500</v>
      </c>
      <c r="I410" s="40" t="s">
        <v>421</v>
      </c>
      <c r="J410" s="40" t="s">
        <v>422</v>
      </c>
      <c r="K410" s="40" t="s">
        <v>355</v>
      </c>
    </row>
    <row r="411" spans="1:13" x14ac:dyDescent="0.25">
      <c r="A411" s="40" t="s">
        <v>908</v>
      </c>
      <c r="B411" s="40" t="s">
        <v>3</v>
      </c>
      <c r="C411" s="40" t="s">
        <v>909</v>
      </c>
      <c r="E411" s="40" t="s">
        <v>910</v>
      </c>
      <c r="F411" s="40">
        <v>7.2536583877191303</v>
      </c>
      <c r="G411" s="40">
        <v>41</v>
      </c>
      <c r="H411" s="40">
        <v>3500</v>
      </c>
      <c r="I411" s="40" t="s">
        <v>439</v>
      </c>
      <c r="J411" s="40" t="s">
        <v>440</v>
      </c>
      <c r="K411" s="40" t="s">
        <v>118</v>
      </c>
    </row>
    <row r="412" spans="1:13" x14ac:dyDescent="0.25">
      <c r="A412" s="40" t="s">
        <v>911</v>
      </c>
      <c r="B412" s="40" t="s">
        <v>6</v>
      </c>
      <c r="C412" s="40" t="s">
        <v>912</v>
      </c>
      <c r="E412" s="40" t="s">
        <v>913</v>
      </c>
      <c r="F412" s="40">
        <v>16.9130434782608</v>
      </c>
      <c r="G412" s="40">
        <v>46</v>
      </c>
      <c r="H412" s="40">
        <v>3500</v>
      </c>
      <c r="I412" s="40" t="s">
        <v>452</v>
      </c>
      <c r="J412" s="40" t="s">
        <v>453</v>
      </c>
      <c r="K412" s="40" t="s">
        <v>454</v>
      </c>
      <c r="L412" s="40" t="s">
        <v>48</v>
      </c>
      <c r="M412" s="40" t="s">
        <v>49</v>
      </c>
    </row>
    <row r="413" spans="1:13" x14ac:dyDescent="0.25">
      <c r="A413" s="40" t="s">
        <v>914</v>
      </c>
      <c r="B413" s="40" t="s">
        <v>3</v>
      </c>
      <c r="C413" s="40" t="s">
        <v>104</v>
      </c>
      <c r="E413" s="40" t="s">
        <v>105</v>
      </c>
      <c r="F413" s="40">
        <v>7.7863637750799004</v>
      </c>
      <c r="G413" s="40">
        <v>22</v>
      </c>
      <c r="H413" s="40">
        <v>3500</v>
      </c>
      <c r="I413" s="40" t="s">
        <v>435</v>
      </c>
      <c r="J413" s="40" t="s">
        <v>87</v>
      </c>
      <c r="K413" s="40" t="s">
        <v>436</v>
      </c>
    </row>
    <row r="414" spans="1:13" x14ac:dyDescent="0.25">
      <c r="A414" s="40" t="s">
        <v>915</v>
      </c>
      <c r="B414" s="40" t="s">
        <v>7</v>
      </c>
      <c r="C414" s="40" t="s">
        <v>916</v>
      </c>
      <c r="E414" s="40" t="s">
        <v>917</v>
      </c>
      <c r="F414" s="40">
        <v>5.5888886628327503</v>
      </c>
      <c r="G414" s="40">
        <v>27</v>
      </c>
      <c r="H414" s="40">
        <v>3500</v>
      </c>
      <c r="I414" s="40" t="s">
        <v>444</v>
      </c>
      <c r="J414" s="40" t="s">
        <v>445</v>
      </c>
      <c r="K414" s="40" t="s">
        <v>446</v>
      </c>
    </row>
    <row r="415" spans="1:13" x14ac:dyDescent="0.25">
      <c r="A415" s="40" t="s">
        <v>918</v>
      </c>
      <c r="B415" s="40" t="s">
        <v>7</v>
      </c>
      <c r="C415" s="40" t="s">
        <v>379</v>
      </c>
      <c r="E415" s="40" t="s">
        <v>504</v>
      </c>
      <c r="F415" s="40">
        <v>13.7170215363198</v>
      </c>
      <c r="G415" s="40">
        <v>47</v>
      </c>
      <c r="H415" s="40">
        <v>3500</v>
      </c>
      <c r="I415" s="40" t="s">
        <v>417</v>
      </c>
      <c r="J415" s="40" t="s">
        <v>419</v>
      </c>
      <c r="K415" s="40" t="s">
        <v>418</v>
      </c>
    </row>
    <row r="416" spans="1:13" x14ac:dyDescent="0.25">
      <c r="A416" s="40" t="s">
        <v>919</v>
      </c>
      <c r="B416" s="40" t="s">
        <v>5</v>
      </c>
      <c r="C416" s="40" t="s">
        <v>920</v>
      </c>
      <c r="E416" s="40" t="s">
        <v>374</v>
      </c>
      <c r="F416" s="40">
        <v>10.149999765249399</v>
      </c>
      <c r="G416" s="40">
        <v>52</v>
      </c>
      <c r="H416" s="40">
        <v>3500</v>
      </c>
      <c r="I416" s="40" t="s">
        <v>444</v>
      </c>
      <c r="J416" s="40" t="s">
        <v>445</v>
      </c>
      <c r="K416" s="40" t="s">
        <v>446</v>
      </c>
    </row>
    <row r="417" spans="1:11" x14ac:dyDescent="0.25">
      <c r="A417" s="40" t="s">
        <v>921</v>
      </c>
      <c r="B417" s="40" t="s">
        <v>5</v>
      </c>
      <c r="C417" s="40" t="s">
        <v>461</v>
      </c>
      <c r="E417" s="40" t="s">
        <v>922</v>
      </c>
      <c r="F417" s="40">
        <v>6.9647059721105196</v>
      </c>
      <c r="G417" s="40">
        <v>17</v>
      </c>
      <c r="H417" s="40">
        <v>3500</v>
      </c>
      <c r="I417" s="40" t="s">
        <v>428</v>
      </c>
      <c r="J417" s="40" t="s">
        <v>430</v>
      </c>
      <c r="K417" s="40" t="s">
        <v>429</v>
      </c>
    </row>
    <row r="418" spans="1:11" x14ac:dyDescent="0.25">
      <c r="A418" s="40" t="s">
        <v>923</v>
      </c>
      <c r="B418" s="40" t="s">
        <v>5</v>
      </c>
      <c r="C418" s="40" t="s">
        <v>924</v>
      </c>
      <c r="E418" s="40" t="s">
        <v>925</v>
      </c>
      <c r="F418" s="40">
        <v>10.2425921404803</v>
      </c>
      <c r="G418" s="40">
        <v>54</v>
      </c>
      <c r="H418" s="40">
        <v>3500</v>
      </c>
      <c r="I418" s="40" t="s">
        <v>444</v>
      </c>
      <c r="J418" s="40" t="s">
        <v>446</v>
      </c>
      <c r="K418" s="40" t="s">
        <v>445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07"/>
  <sheetViews>
    <sheetView workbookViewId="0">
      <selection activeCell="D16" sqref="D16"/>
    </sheetView>
  </sheetViews>
  <sheetFormatPr defaultRowHeight="15" x14ac:dyDescent="0.25"/>
  <cols>
    <col min="1" max="1" width="24.7109375" bestFit="1" customWidth="1"/>
    <col min="2" max="2" width="14.140625" customWidth="1"/>
  </cols>
  <sheetData>
    <row r="1" spans="1:3" x14ac:dyDescent="0.25">
      <c r="A1" s="40" t="s">
        <v>276</v>
      </c>
      <c r="B1" s="40">
        <v>74.8</v>
      </c>
      <c r="C1" s="40"/>
    </row>
    <row r="2" spans="1:3" x14ac:dyDescent="0.25">
      <c r="A2" s="40" t="s">
        <v>946</v>
      </c>
      <c r="B2" s="40">
        <v>73.900000000000006</v>
      </c>
      <c r="C2" s="40"/>
    </row>
    <row r="3" spans="1:3" x14ac:dyDescent="0.25">
      <c r="A3" s="40" t="s">
        <v>220</v>
      </c>
      <c r="B3" s="40">
        <v>67.900000000000006</v>
      </c>
      <c r="C3" s="40"/>
    </row>
    <row r="4" spans="1:3" x14ac:dyDescent="0.25">
      <c r="A4" s="40" t="s">
        <v>1003</v>
      </c>
      <c r="B4" s="40">
        <v>66.400000000000006</v>
      </c>
      <c r="C4" s="40"/>
    </row>
    <row r="5" spans="1:3" x14ac:dyDescent="0.25">
      <c r="A5" s="40" t="s">
        <v>346</v>
      </c>
      <c r="B5" s="40">
        <v>64.599999999999994</v>
      </c>
      <c r="C5" s="40"/>
    </row>
    <row r="6" spans="1:3" x14ac:dyDescent="0.25">
      <c r="A6" s="40" t="s">
        <v>233</v>
      </c>
      <c r="B6" s="40">
        <v>62.6</v>
      </c>
      <c r="C6" s="40"/>
    </row>
    <row r="7" spans="1:3" x14ac:dyDescent="0.25">
      <c r="A7" s="40" t="s">
        <v>194</v>
      </c>
      <c r="B7" s="40">
        <v>62</v>
      </c>
      <c r="C7" s="40"/>
    </row>
    <row r="8" spans="1:3" x14ac:dyDescent="0.25">
      <c r="A8" s="40" t="s">
        <v>231</v>
      </c>
      <c r="B8" s="40">
        <v>61.4</v>
      </c>
      <c r="C8" s="40"/>
    </row>
    <row r="9" spans="1:3" x14ac:dyDescent="0.25">
      <c r="A9" s="40" t="s">
        <v>317</v>
      </c>
      <c r="B9" s="40">
        <v>60.3</v>
      </c>
      <c r="C9" s="40"/>
    </row>
    <row r="10" spans="1:3" x14ac:dyDescent="0.25">
      <c r="A10" s="40" t="s">
        <v>969</v>
      </c>
      <c r="B10" s="40">
        <v>60.3</v>
      </c>
      <c r="C10" s="40"/>
    </row>
    <row r="11" spans="1:3" x14ac:dyDescent="0.25">
      <c r="A11" s="40" t="s">
        <v>1035</v>
      </c>
      <c r="B11" s="40">
        <v>59</v>
      </c>
      <c r="C11" s="40"/>
    </row>
    <row r="12" spans="1:3" x14ac:dyDescent="0.25">
      <c r="A12" s="40" t="s">
        <v>1027</v>
      </c>
      <c r="B12" s="40">
        <v>58.1</v>
      </c>
      <c r="C12" s="40"/>
    </row>
    <row r="13" spans="1:3" x14ac:dyDescent="0.25">
      <c r="A13" s="40" t="s">
        <v>981</v>
      </c>
      <c r="B13" s="40">
        <v>57.8</v>
      </c>
      <c r="C13" s="40"/>
    </row>
    <row r="14" spans="1:3" x14ac:dyDescent="0.25">
      <c r="A14" s="40" t="s">
        <v>217</v>
      </c>
      <c r="B14" s="40">
        <v>57.5</v>
      </c>
      <c r="C14" s="40"/>
    </row>
    <row r="15" spans="1:3" x14ac:dyDescent="0.25">
      <c r="A15" s="40" t="s">
        <v>288</v>
      </c>
      <c r="B15" s="40">
        <v>57.1</v>
      </c>
      <c r="C15" s="40"/>
    </row>
    <row r="16" spans="1:3" x14ac:dyDescent="0.25">
      <c r="A16" s="40" t="s">
        <v>230</v>
      </c>
      <c r="B16" s="40">
        <v>57</v>
      </c>
      <c r="C16" s="40"/>
    </row>
    <row r="17" spans="1:3" x14ac:dyDescent="0.25">
      <c r="A17" s="40" t="s">
        <v>222</v>
      </c>
      <c r="B17" s="40">
        <v>56.3</v>
      </c>
      <c r="C17" s="40"/>
    </row>
    <row r="18" spans="1:3" x14ac:dyDescent="0.25">
      <c r="A18" s="40" t="s">
        <v>215</v>
      </c>
      <c r="B18" s="40">
        <v>55.7</v>
      </c>
      <c r="C18" s="40"/>
    </row>
    <row r="19" spans="1:3" x14ac:dyDescent="0.25">
      <c r="A19" s="40" t="s">
        <v>306</v>
      </c>
      <c r="B19" s="40">
        <v>55.4</v>
      </c>
      <c r="C19" s="40"/>
    </row>
    <row r="20" spans="1:3" x14ac:dyDescent="0.25">
      <c r="A20" s="40" t="s">
        <v>210</v>
      </c>
      <c r="B20" s="40">
        <v>55.3</v>
      </c>
      <c r="C20" s="40"/>
    </row>
    <row r="21" spans="1:3" x14ac:dyDescent="0.25">
      <c r="A21" s="40" t="s">
        <v>266</v>
      </c>
      <c r="B21" s="40">
        <v>52.8</v>
      </c>
      <c r="C21" s="40"/>
    </row>
    <row r="22" spans="1:3" x14ac:dyDescent="0.25">
      <c r="A22" s="40" t="s">
        <v>284</v>
      </c>
      <c r="B22" s="40">
        <v>52.6</v>
      </c>
      <c r="C22" s="40"/>
    </row>
    <row r="23" spans="1:3" x14ac:dyDescent="0.25">
      <c r="A23" s="40" t="s">
        <v>246</v>
      </c>
      <c r="B23" s="40">
        <v>52.3</v>
      </c>
      <c r="C23" s="40"/>
    </row>
    <row r="24" spans="1:3" x14ac:dyDescent="0.25">
      <c r="A24" s="40" t="s">
        <v>181</v>
      </c>
      <c r="B24" s="40">
        <v>51</v>
      </c>
      <c r="C24" s="40"/>
    </row>
    <row r="25" spans="1:3" x14ac:dyDescent="0.25">
      <c r="A25" s="40" t="s">
        <v>316</v>
      </c>
      <c r="B25" s="40">
        <v>50.8</v>
      </c>
      <c r="C25" s="40"/>
    </row>
    <row r="26" spans="1:3" x14ac:dyDescent="0.25">
      <c r="A26" s="40" t="s">
        <v>178</v>
      </c>
      <c r="B26" s="40">
        <v>50.3</v>
      </c>
      <c r="C26" s="40"/>
    </row>
    <row r="27" spans="1:3" x14ac:dyDescent="0.25">
      <c r="A27" s="40" t="s">
        <v>324</v>
      </c>
      <c r="B27" s="40">
        <v>50.3</v>
      </c>
      <c r="C27" s="40"/>
    </row>
    <row r="28" spans="1:3" x14ac:dyDescent="0.25">
      <c r="A28" s="40" t="s">
        <v>205</v>
      </c>
      <c r="B28" s="40">
        <v>49.8</v>
      </c>
      <c r="C28" s="40"/>
    </row>
    <row r="29" spans="1:3" x14ac:dyDescent="0.25">
      <c r="A29" s="40" t="s">
        <v>321</v>
      </c>
      <c r="B29" s="40">
        <v>49</v>
      </c>
      <c r="C29" s="40"/>
    </row>
    <row r="30" spans="1:3" x14ac:dyDescent="0.25">
      <c r="A30" s="40" t="s">
        <v>267</v>
      </c>
      <c r="B30" s="40">
        <v>49</v>
      </c>
      <c r="C30" s="40"/>
    </row>
    <row r="31" spans="1:3" x14ac:dyDescent="0.25">
      <c r="A31" s="40" t="s">
        <v>993</v>
      </c>
      <c r="B31" s="40">
        <v>48.7</v>
      </c>
      <c r="C31" s="40"/>
    </row>
    <row r="32" spans="1:3" x14ac:dyDescent="0.25">
      <c r="A32" s="40" t="s">
        <v>221</v>
      </c>
      <c r="B32" s="40">
        <v>48.7</v>
      </c>
      <c r="C32" s="40"/>
    </row>
    <row r="33" spans="1:3" x14ac:dyDescent="0.25">
      <c r="A33" s="40" t="s">
        <v>282</v>
      </c>
      <c r="B33" s="40">
        <v>48.6</v>
      </c>
      <c r="C33" s="40"/>
    </row>
    <row r="34" spans="1:3" x14ac:dyDescent="0.25">
      <c r="A34" s="40" t="s">
        <v>351</v>
      </c>
      <c r="B34" s="40">
        <v>48.2</v>
      </c>
      <c r="C34" s="40"/>
    </row>
    <row r="35" spans="1:3" x14ac:dyDescent="0.25">
      <c r="A35" s="40" t="s">
        <v>314</v>
      </c>
      <c r="B35" s="40">
        <v>48.1</v>
      </c>
      <c r="C35" s="40"/>
    </row>
    <row r="36" spans="1:3" x14ac:dyDescent="0.25">
      <c r="A36" s="40" t="s">
        <v>347</v>
      </c>
      <c r="B36" s="40">
        <v>48</v>
      </c>
      <c r="C36" s="40"/>
    </row>
    <row r="37" spans="1:3" x14ac:dyDescent="0.25">
      <c r="A37" s="40" t="s">
        <v>206</v>
      </c>
      <c r="B37" s="40">
        <v>47.9</v>
      </c>
      <c r="C37" s="40"/>
    </row>
    <row r="38" spans="1:3" x14ac:dyDescent="0.25">
      <c r="A38" s="40" t="s">
        <v>201</v>
      </c>
      <c r="B38" s="40">
        <v>47.5</v>
      </c>
      <c r="C38" s="40"/>
    </row>
    <row r="39" spans="1:3" x14ac:dyDescent="0.25">
      <c r="A39" s="40" t="s">
        <v>335</v>
      </c>
      <c r="B39" s="40">
        <v>47.1</v>
      </c>
      <c r="C39" s="40"/>
    </row>
    <row r="40" spans="1:3" x14ac:dyDescent="0.25">
      <c r="A40" s="40" t="s">
        <v>207</v>
      </c>
      <c r="B40" s="40">
        <v>47</v>
      </c>
      <c r="C40" s="40"/>
    </row>
    <row r="41" spans="1:3" x14ac:dyDescent="0.25">
      <c r="A41" s="40" t="s">
        <v>226</v>
      </c>
      <c r="B41" s="40">
        <v>46.9</v>
      </c>
      <c r="C41" s="40"/>
    </row>
    <row r="42" spans="1:3" x14ac:dyDescent="0.25">
      <c r="A42" s="40" t="s">
        <v>978</v>
      </c>
      <c r="B42" s="40">
        <v>46.9</v>
      </c>
      <c r="C42" s="40"/>
    </row>
    <row r="43" spans="1:3" x14ac:dyDescent="0.25">
      <c r="A43" s="40" t="s">
        <v>252</v>
      </c>
      <c r="B43" s="40">
        <v>46.5</v>
      </c>
      <c r="C43" s="40"/>
    </row>
    <row r="44" spans="1:3" x14ac:dyDescent="0.25">
      <c r="A44" s="40" t="s">
        <v>308</v>
      </c>
      <c r="B44" s="40">
        <v>46.2</v>
      </c>
      <c r="C44" s="40"/>
    </row>
    <row r="45" spans="1:3" x14ac:dyDescent="0.25">
      <c r="A45" s="40" t="s">
        <v>307</v>
      </c>
      <c r="B45" s="40">
        <v>46</v>
      </c>
      <c r="C45" s="40"/>
    </row>
    <row r="46" spans="1:3" x14ac:dyDescent="0.25">
      <c r="A46" s="40" t="s">
        <v>256</v>
      </c>
      <c r="B46" s="40">
        <v>46</v>
      </c>
      <c r="C46" s="40"/>
    </row>
    <row r="47" spans="1:3" x14ac:dyDescent="0.25">
      <c r="A47" s="40" t="s">
        <v>950</v>
      </c>
      <c r="B47" s="40">
        <v>45.5</v>
      </c>
      <c r="C47" s="40"/>
    </row>
    <row r="48" spans="1:3" x14ac:dyDescent="0.25">
      <c r="A48" s="40" t="s">
        <v>1021</v>
      </c>
      <c r="B48" s="40">
        <v>45.4</v>
      </c>
      <c r="C48" s="40"/>
    </row>
    <row r="49" spans="1:3" x14ac:dyDescent="0.25">
      <c r="A49" s="40" t="s">
        <v>242</v>
      </c>
      <c r="B49" s="40">
        <v>45.3</v>
      </c>
      <c r="C49" s="40"/>
    </row>
    <row r="50" spans="1:3" x14ac:dyDescent="0.25">
      <c r="A50" s="40" t="s">
        <v>234</v>
      </c>
      <c r="B50" s="40">
        <v>44.7</v>
      </c>
      <c r="C50" s="40"/>
    </row>
    <row r="51" spans="1:3" x14ac:dyDescent="0.25">
      <c r="A51" s="40" t="s">
        <v>1024</v>
      </c>
      <c r="B51" s="40">
        <v>44.5</v>
      </c>
      <c r="C51" s="40"/>
    </row>
    <row r="52" spans="1:3" x14ac:dyDescent="0.25">
      <c r="A52" s="40" t="s">
        <v>285</v>
      </c>
      <c r="B52" s="40">
        <v>44.2</v>
      </c>
      <c r="C52" s="40"/>
    </row>
    <row r="53" spans="1:3" x14ac:dyDescent="0.25">
      <c r="A53" s="40" t="s">
        <v>945</v>
      </c>
      <c r="B53" s="40">
        <v>43.9</v>
      </c>
      <c r="C53" s="40"/>
    </row>
    <row r="54" spans="1:3" x14ac:dyDescent="0.25">
      <c r="A54" s="40" t="s">
        <v>1006</v>
      </c>
      <c r="B54" s="40">
        <v>43.8</v>
      </c>
      <c r="C54" s="40"/>
    </row>
    <row r="55" spans="1:3" x14ac:dyDescent="0.25">
      <c r="A55" s="40" t="s">
        <v>238</v>
      </c>
      <c r="B55" s="40">
        <v>43.6</v>
      </c>
      <c r="C55" s="40"/>
    </row>
    <row r="56" spans="1:3" x14ac:dyDescent="0.25">
      <c r="A56" s="40" t="s">
        <v>299</v>
      </c>
      <c r="B56" s="40">
        <v>43.5</v>
      </c>
      <c r="C56" s="40"/>
    </row>
    <row r="57" spans="1:3" x14ac:dyDescent="0.25">
      <c r="A57" s="40" t="s">
        <v>270</v>
      </c>
      <c r="B57" s="40">
        <v>43.5</v>
      </c>
      <c r="C57" s="40"/>
    </row>
    <row r="58" spans="1:3" x14ac:dyDescent="0.25">
      <c r="A58" s="40" t="s">
        <v>228</v>
      </c>
      <c r="B58" s="40">
        <v>43.4</v>
      </c>
      <c r="C58" s="40"/>
    </row>
    <row r="59" spans="1:3" x14ac:dyDescent="0.25">
      <c r="A59" s="40" t="s">
        <v>219</v>
      </c>
      <c r="B59" s="40">
        <v>43.3</v>
      </c>
      <c r="C59" s="40"/>
    </row>
    <row r="60" spans="1:3" x14ac:dyDescent="0.25">
      <c r="A60" s="40" t="s">
        <v>1030</v>
      </c>
      <c r="B60" s="40">
        <v>43.3</v>
      </c>
      <c r="C60" s="40"/>
    </row>
    <row r="61" spans="1:3" x14ac:dyDescent="0.25">
      <c r="A61" s="40" t="s">
        <v>177</v>
      </c>
      <c r="B61" s="40">
        <v>43.2</v>
      </c>
      <c r="C61" s="40"/>
    </row>
    <row r="62" spans="1:3" x14ac:dyDescent="0.25">
      <c r="A62" s="40" t="s">
        <v>176</v>
      </c>
      <c r="B62" s="40">
        <v>43.1</v>
      </c>
      <c r="C62" s="40"/>
    </row>
    <row r="63" spans="1:3" x14ac:dyDescent="0.25">
      <c r="A63" s="40" t="s">
        <v>287</v>
      </c>
      <c r="B63" s="40">
        <v>42.8</v>
      </c>
      <c r="C63" s="40"/>
    </row>
    <row r="64" spans="1:3" x14ac:dyDescent="0.25">
      <c r="A64" s="40" t="s">
        <v>951</v>
      </c>
      <c r="B64" s="40">
        <v>42.7</v>
      </c>
      <c r="C64" s="40"/>
    </row>
    <row r="65" spans="1:3" x14ac:dyDescent="0.25">
      <c r="A65" s="40" t="s">
        <v>1000</v>
      </c>
      <c r="B65" s="40">
        <v>42.5</v>
      </c>
      <c r="C65" s="40"/>
    </row>
    <row r="66" spans="1:3" x14ac:dyDescent="0.25">
      <c r="A66" s="40" t="s">
        <v>1010</v>
      </c>
      <c r="B66" s="40">
        <v>42</v>
      </c>
      <c r="C66" s="40"/>
    </row>
    <row r="67" spans="1:3" x14ac:dyDescent="0.25">
      <c r="A67" s="40" t="s">
        <v>327</v>
      </c>
      <c r="B67" s="40">
        <v>41.8</v>
      </c>
      <c r="C67" s="40"/>
    </row>
    <row r="68" spans="1:3" x14ac:dyDescent="0.25">
      <c r="A68" s="40" t="s">
        <v>934</v>
      </c>
      <c r="B68" s="40">
        <v>41.3</v>
      </c>
      <c r="C68" s="40"/>
    </row>
    <row r="69" spans="1:3" x14ac:dyDescent="0.25">
      <c r="A69" s="40" t="s">
        <v>180</v>
      </c>
      <c r="B69" s="40">
        <v>41.3</v>
      </c>
      <c r="C69" s="40"/>
    </row>
    <row r="70" spans="1:3" x14ac:dyDescent="0.25">
      <c r="A70" s="40" t="s">
        <v>992</v>
      </c>
      <c r="B70" s="40">
        <v>41.2</v>
      </c>
      <c r="C70" s="40"/>
    </row>
    <row r="71" spans="1:3" x14ac:dyDescent="0.25">
      <c r="A71" s="40" t="s">
        <v>944</v>
      </c>
      <c r="B71" s="40">
        <v>40.9</v>
      </c>
      <c r="C71" s="40"/>
    </row>
    <row r="72" spans="1:3" x14ac:dyDescent="0.25">
      <c r="A72" s="40" t="s">
        <v>253</v>
      </c>
      <c r="B72" s="40">
        <v>40.9</v>
      </c>
      <c r="C72" s="40"/>
    </row>
    <row r="73" spans="1:3" x14ac:dyDescent="0.25">
      <c r="A73" s="40" t="s">
        <v>190</v>
      </c>
      <c r="B73" s="40">
        <v>40.9</v>
      </c>
      <c r="C73" s="40"/>
    </row>
    <row r="74" spans="1:3" x14ac:dyDescent="0.25">
      <c r="A74" s="40" t="s">
        <v>258</v>
      </c>
      <c r="B74" s="40">
        <v>40.700000000000003</v>
      </c>
      <c r="C74" s="40"/>
    </row>
    <row r="75" spans="1:3" x14ac:dyDescent="0.25">
      <c r="A75" s="40" t="s">
        <v>237</v>
      </c>
      <c r="B75" s="40">
        <v>40.700000000000003</v>
      </c>
      <c r="C75" s="40"/>
    </row>
    <row r="76" spans="1:3" x14ac:dyDescent="0.25">
      <c r="A76" s="40" t="s">
        <v>941</v>
      </c>
      <c r="B76" s="40">
        <v>40.4</v>
      </c>
      <c r="C76" s="40"/>
    </row>
    <row r="77" spans="1:3" x14ac:dyDescent="0.25">
      <c r="A77" s="40" t="s">
        <v>295</v>
      </c>
      <c r="B77" s="40">
        <v>40.4</v>
      </c>
      <c r="C77" s="40"/>
    </row>
    <row r="78" spans="1:3" x14ac:dyDescent="0.25">
      <c r="A78" s="40" t="s">
        <v>209</v>
      </c>
      <c r="B78" s="40">
        <v>40.200000000000003</v>
      </c>
      <c r="C78" s="40"/>
    </row>
    <row r="79" spans="1:3" x14ac:dyDescent="0.25">
      <c r="A79" s="40" t="s">
        <v>202</v>
      </c>
      <c r="B79" s="40">
        <v>40.200000000000003</v>
      </c>
      <c r="C79" s="40"/>
    </row>
    <row r="80" spans="1:3" x14ac:dyDescent="0.25">
      <c r="A80" s="40" t="s">
        <v>235</v>
      </c>
      <c r="B80" s="40">
        <v>39.9</v>
      </c>
      <c r="C80" s="40"/>
    </row>
    <row r="81" spans="1:3" x14ac:dyDescent="0.25">
      <c r="A81" s="40" t="s">
        <v>936</v>
      </c>
      <c r="B81" s="40">
        <v>39.799999999999997</v>
      </c>
      <c r="C81" s="40"/>
    </row>
    <row r="82" spans="1:3" x14ac:dyDescent="0.25">
      <c r="A82" s="40" t="s">
        <v>192</v>
      </c>
      <c r="B82" s="40">
        <v>39.6</v>
      </c>
      <c r="C82" s="40"/>
    </row>
    <row r="83" spans="1:3" x14ac:dyDescent="0.25">
      <c r="A83" s="40" t="s">
        <v>967</v>
      </c>
      <c r="B83" s="40">
        <v>39.4</v>
      </c>
      <c r="C83" s="40"/>
    </row>
    <row r="84" spans="1:3" x14ac:dyDescent="0.25">
      <c r="A84" s="40" t="s">
        <v>175</v>
      </c>
      <c r="B84" s="40">
        <v>39.4</v>
      </c>
      <c r="C84" s="40"/>
    </row>
    <row r="85" spans="1:3" x14ac:dyDescent="0.25">
      <c r="A85" s="40" t="s">
        <v>1019</v>
      </c>
      <c r="B85" s="40">
        <v>39.200000000000003</v>
      </c>
      <c r="C85" s="40"/>
    </row>
    <row r="86" spans="1:3" x14ac:dyDescent="0.25">
      <c r="A86" s="40" t="s">
        <v>926</v>
      </c>
      <c r="B86" s="40">
        <v>39.1</v>
      </c>
      <c r="C86" s="40"/>
    </row>
    <row r="87" spans="1:3" x14ac:dyDescent="0.25">
      <c r="A87" s="40" t="s">
        <v>337</v>
      </c>
      <c r="B87" s="40">
        <v>39.1</v>
      </c>
      <c r="C87" s="40"/>
    </row>
    <row r="88" spans="1:3" x14ac:dyDescent="0.25">
      <c r="A88" s="40" t="s">
        <v>269</v>
      </c>
      <c r="B88" s="40">
        <v>38.9</v>
      </c>
      <c r="C88" s="40"/>
    </row>
    <row r="89" spans="1:3" x14ac:dyDescent="0.25">
      <c r="A89" s="40" t="s">
        <v>195</v>
      </c>
      <c r="B89" s="40">
        <v>38.200000000000003</v>
      </c>
      <c r="C89" s="40"/>
    </row>
    <row r="90" spans="1:3" x14ac:dyDescent="0.25">
      <c r="A90" s="40" t="s">
        <v>248</v>
      </c>
      <c r="B90" s="40">
        <v>38</v>
      </c>
      <c r="C90" s="40"/>
    </row>
    <row r="91" spans="1:3" x14ac:dyDescent="0.25">
      <c r="A91" s="40" t="s">
        <v>199</v>
      </c>
      <c r="B91" s="40">
        <v>37.9</v>
      </c>
      <c r="C91" s="40"/>
    </row>
    <row r="92" spans="1:3" x14ac:dyDescent="0.25">
      <c r="A92" s="40" t="s">
        <v>932</v>
      </c>
      <c r="B92" s="40">
        <v>37.6</v>
      </c>
      <c r="C92" s="40"/>
    </row>
    <row r="93" spans="1:3" x14ac:dyDescent="0.25">
      <c r="A93" s="40" t="s">
        <v>1002</v>
      </c>
      <c r="B93" s="40">
        <v>37.4</v>
      </c>
      <c r="C93" s="40"/>
    </row>
    <row r="94" spans="1:3" x14ac:dyDescent="0.25">
      <c r="A94" s="40" t="s">
        <v>1008</v>
      </c>
      <c r="B94" s="40">
        <v>37.4</v>
      </c>
      <c r="C94" s="40"/>
    </row>
    <row r="95" spans="1:3" x14ac:dyDescent="0.25">
      <c r="A95" s="40" t="s">
        <v>929</v>
      </c>
      <c r="B95" s="40">
        <v>37.299999999999997</v>
      </c>
      <c r="C95" s="40"/>
    </row>
    <row r="96" spans="1:3" x14ac:dyDescent="0.25">
      <c r="A96" s="40" t="s">
        <v>239</v>
      </c>
      <c r="B96" s="40">
        <v>37.200000000000003</v>
      </c>
      <c r="C96" s="40"/>
    </row>
    <row r="97" spans="1:3" x14ac:dyDescent="0.25">
      <c r="A97" s="40" t="s">
        <v>982</v>
      </c>
      <c r="B97" s="40">
        <v>37.200000000000003</v>
      </c>
      <c r="C97" s="40"/>
    </row>
    <row r="98" spans="1:3" x14ac:dyDescent="0.25">
      <c r="A98" s="40" t="s">
        <v>257</v>
      </c>
      <c r="B98" s="40">
        <v>36.799999999999997</v>
      </c>
      <c r="C98" s="40"/>
    </row>
    <row r="99" spans="1:3" x14ac:dyDescent="0.25">
      <c r="A99" s="40" t="s">
        <v>999</v>
      </c>
      <c r="B99" s="40">
        <v>36.799999999999997</v>
      </c>
      <c r="C99" s="40"/>
    </row>
    <row r="100" spans="1:3" x14ac:dyDescent="0.25">
      <c r="A100" s="40" t="s">
        <v>320</v>
      </c>
      <c r="B100" s="40">
        <v>36.700000000000003</v>
      </c>
      <c r="C100" s="40"/>
    </row>
    <row r="101" spans="1:3" x14ac:dyDescent="0.25">
      <c r="A101" s="40" t="s">
        <v>289</v>
      </c>
      <c r="B101" s="40">
        <v>36.4</v>
      </c>
      <c r="C101" s="40"/>
    </row>
    <row r="102" spans="1:3" x14ac:dyDescent="0.25">
      <c r="A102" s="40" t="s">
        <v>265</v>
      </c>
      <c r="B102" s="40">
        <v>36.299999999999997</v>
      </c>
      <c r="C102" s="40"/>
    </row>
    <row r="103" spans="1:3" x14ac:dyDescent="0.25">
      <c r="A103" s="40" t="s">
        <v>185</v>
      </c>
      <c r="B103" s="40">
        <v>36</v>
      </c>
      <c r="C103" s="40"/>
    </row>
    <row r="104" spans="1:3" x14ac:dyDescent="0.25">
      <c r="A104" s="40" t="s">
        <v>244</v>
      </c>
      <c r="B104" s="40">
        <v>36</v>
      </c>
      <c r="C104" s="40"/>
    </row>
    <row r="105" spans="1:3" x14ac:dyDescent="0.25">
      <c r="A105" s="40" t="s">
        <v>274</v>
      </c>
      <c r="B105" s="40">
        <v>36</v>
      </c>
      <c r="C105" s="40"/>
    </row>
    <row r="106" spans="1:3" x14ac:dyDescent="0.25">
      <c r="A106" s="40" t="s">
        <v>1050</v>
      </c>
      <c r="B106" s="40">
        <v>35.200000000000003</v>
      </c>
      <c r="C106" s="40"/>
    </row>
    <row r="107" spans="1:3" x14ac:dyDescent="0.25">
      <c r="A107" s="40" t="s">
        <v>957</v>
      </c>
      <c r="B107" s="40">
        <v>35.1</v>
      </c>
      <c r="C107" s="40"/>
    </row>
    <row r="108" spans="1:3" x14ac:dyDescent="0.25">
      <c r="A108" s="40" t="s">
        <v>214</v>
      </c>
      <c r="B108" s="40">
        <v>35</v>
      </c>
      <c r="C108" s="40"/>
    </row>
    <row r="109" spans="1:3" x14ac:dyDescent="0.25">
      <c r="A109" s="40" t="s">
        <v>963</v>
      </c>
      <c r="B109" s="40">
        <v>34.799999999999997</v>
      </c>
      <c r="C109" s="40"/>
    </row>
    <row r="110" spans="1:3" x14ac:dyDescent="0.25">
      <c r="A110" s="40" t="s">
        <v>311</v>
      </c>
      <c r="B110" s="40">
        <v>34.6</v>
      </c>
      <c r="C110" s="40"/>
    </row>
    <row r="111" spans="1:3" x14ac:dyDescent="0.25">
      <c r="A111" s="40" t="s">
        <v>318</v>
      </c>
      <c r="B111" s="40">
        <v>34.5</v>
      </c>
      <c r="C111" s="40"/>
    </row>
    <row r="112" spans="1:3" x14ac:dyDescent="0.25">
      <c r="A112" s="40" t="s">
        <v>322</v>
      </c>
      <c r="B112" s="40">
        <v>34.299999999999997</v>
      </c>
      <c r="C112" s="40"/>
    </row>
    <row r="113" spans="1:3" x14ac:dyDescent="0.25">
      <c r="A113" s="40" t="s">
        <v>229</v>
      </c>
      <c r="B113" s="40">
        <v>34.200000000000003</v>
      </c>
      <c r="C113" s="40"/>
    </row>
    <row r="114" spans="1:3" x14ac:dyDescent="0.25">
      <c r="A114" s="40" t="s">
        <v>960</v>
      </c>
      <c r="B114" s="40">
        <v>34</v>
      </c>
      <c r="C114" s="40"/>
    </row>
    <row r="115" spans="1:3" x14ac:dyDescent="0.25">
      <c r="A115" s="40" t="s">
        <v>1018</v>
      </c>
      <c r="B115" s="40">
        <v>34</v>
      </c>
      <c r="C115" s="40"/>
    </row>
    <row r="116" spans="1:3" x14ac:dyDescent="0.25">
      <c r="A116" s="40" t="s">
        <v>184</v>
      </c>
      <c r="B116" s="40">
        <v>33.799999999999997</v>
      </c>
      <c r="C116" s="40"/>
    </row>
    <row r="117" spans="1:3" x14ac:dyDescent="0.25">
      <c r="A117" s="40" t="s">
        <v>283</v>
      </c>
      <c r="B117" s="40">
        <v>33.700000000000003</v>
      </c>
      <c r="C117" s="40"/>
    </row>
    <row r="118" spans="1:3" x14ac:dyDescent="0.25">
      <c r="A118" s="40" t="s">
        <v>286</v>
      </c>
      <c r="B118" s="40">
        <v>33.6</v>
      </c>
      <c r="C118" s="40"/>
    </row>
    <row r="119" spans="1:3" x14ac:dyDescent="0.25">
      <c r="A119" s="40" t="s">
        <v>342</v>
      </c>
      <c r="B119" s="40">
        <v>33.6</v>
      </c>
      <c r="C119" s="40"/>
    </row>
    <row r="120" spans="1:3" x14ac:dyDescent="0.25">
      <c r="A120" s="40" t="s">
        <v>319</v>
      </c>
      <c r="B120" s="40">
        <v>33.5</v>
      </c>
      <c r="C120" s="40"/>
    </row>
    <row r="121" spans="1:3" x14ac:dyDescent="0.25">
      <c r="A121" s="40" t="s">
        <v>272</v>
      </c>
      <c r="B121" s="40">
        <v>33.200000000000003</v>
      </c>
      <c r="C121" s="40"/>
    </row>
    <row r="122" spans="1:3" x14ac:dyDescent="0.25">
      <c r="A122" s="40" t="s">
        <v>341</v>
      </c>
      <c r="B122" s="40">
        <v>33.1</v>
      </c>
      <c r="C122" s="40"/>
    </row>
    <row r="123" spans="1:3" x14ac:dyDescent="0.25">
      <c r="A123" s="40" t="s">
        <v>304</v>
      </c>
      <c r="B123" s="40">
        <v>32.700000000000003</v>
      </c>
      <c r="C123" s="40"/>
    </row>
    <row r="124" spans="1:3" x14ac:dyDescent="0.25">
      <c r="A124" s="40" t="s">
        <v>182</v>
      </c>
      <c r="B124" s="40">
        <v>32.1</v>
      </c>
      <c r="C124" s="40"/>
    </row>
    <row r="125" spans="1:3" x14ac:dyDescent="0.25">
      <c r="A125" s="40" t="s">
        <v>987</v>
      </c>
      <c r="B125" s="40">
        <v>32.1</v>
      </c>
      <c r="C125" s="40"/>
    </row>
    <row r="126" spans="1:3" x14ac:dyDescent="0.25">
      <c r="A126" s="40" t="s">
        <v>315</v>
      </c>
      <c r="B126" s="40">
        <v>32</v>
      </c>
      <c r="C126" s="40"/>
    </row>
    <row r="127" spans="1:3" x14ac:dyDescent="0.25">
      <c r="A127" s="40" t="s">
        <v>1052</v>
      </c>
      <c r="B127" s="40">
        <v>32</v>
      </c>
      <c r="C127" s="40"/>
    </row>
    <row r="128" spans="1:3" x14ac:dyDescent="0.25">
      <c r="A128" s="40" t="s">
        <v>312</v>
      </c>
      <c r="B128" s="40">
        <v>31.8</v>
      </c>
      <c r="C128" s="40"/>
    </row>
    <row r="129" spans="1:3" x14ac:dyDescent="0.25">
      <c r="A129" s="40" t="s">
        <v>245</v>
      </c>
      <c r="B129" s="40">
        <v>31.8</v>
      </c>
      <c r="C129" s="40"/>
    </row>
    <row r="130" spans="1:3" x14ac:dyDescent="0.25">
      <c r="A130" s="40" t="s">
        <v>250</v>
      </c>
      <c r="B130" s="40">
        <v>31.7</v>
      </c>
      <c r="C130" s="40"/>
    </row>
    <row r="131" spans="1:3" x14ac:dyDescent="0.25">
      <c r="A131" s="40" t="s">
        <v>947</v>
      </c>
      <c r="B131" s="40">
        <v>31.5</v>
      </c>
      <c r="C131" s="40"/>
    </row>
    <row r="132" spans="1:3" x14ac:dyDescent="0.25">
      <c r="A132" s="40" t="s">
        <v>1009</v>
      </c>
      <c r="B132" s="40">
        <v>31.2</v>
      </c>
      <c r="C132" s="40"/>
    </row>
    <row r="133" spans="1:3" x14ac:dyDescent="0.25">
      <c r="A133" s="40" t="s">
        <v>927</v>
      </c>
      <c r="B133" s="40">
        <v>31</v>
      </c>
      <c r="C133" s="40"/>
    </row>
    <row r="134" spans="1:3" x14ac:dyDescent="0.25">
      <c r="A134" s="40" t="s">
        <v>179</v>
      </c>
      <c r="B134" s="40">
        <v>31</v>
      </c>
      <c r="C134" s="40"/>
    </row>
    <row r="135" spans="1:3" x14ac:dyDescent="0.25">
      <c r="A135" s="40" t="s">
        <v>297</v>
      </c>
      <c r="B135" s="40">
        <v>30.8</v>
      </c>
      <c r="C135" s="40"/>
    </row>
    <row r="136" spans="1:3" x14ac:dyDescent="0.25">
      <c r="A136" s="40" t="s">
        <v>338</v>
      </c>
      <c r="B136" s="40">
        <v>30.6</v>
      </c>
      <c r="C136" s="40"/>
    </row>
    <row r="137" spans="1:3" x14ac:dyDescent="0.25">
      <c r="A137" s="40" t="s">
        <v>350</v>
      </c>
      <c r="B137" s="40">
        <v>30.6</v>
      </c>
      <c r="C137" s="40"/>
    </row>
    <row r="138" spans="1:3" x14ac:dyDescent="0.25">
      <c r="A138" s="40" t="s">
        <v>189</v>
      </c>
      <c r="B138" s="40">
        <v>30.3</v>
      </c>
      <c r="C138" s="40"/>
    </row>
    <row r="139" spans="1:3" x14ac:dyDescent="0.25">
      <c r="A139" s="40" t="s">
        <v>334</v>
      </c>
      <c r="B139" s="40">
        <v>30.3</v>
      </c>
      <c r="C139" s="40"/>
    </row>
    <row r="140" spans="1:3" x14ac:dyDescent="0.25">
      <c r="A140" s="40" t="s">
        <v>979</v>
      </c>
      <c r="B140" s="40">
        <v>30</v>
      </c>
      <c r="C140" s="40"/>
    </row>
    <row r="141" spans="1:3" x14ac:dyDescent="0.25">
      <c r="A141" s="40" t="s">
        <v>187</v>
      </c>
      <c r="B141" s="40">
        <v>29.9</v>
      </c>
      <c r="C141" s="40"/>
    </row>
    <row r="142" spans="1:3" x14ac:dyDescent="0.25">
      <c r="A142" s="40" t="s">
        <v>292</v>
      </c>
      <c r="B142" s="40">
        <v>29.8</v>
      </c>
      <c r="C142" s="40"/>
    </row>
    <row r="143" spans="1:3" x14ac:dyDescent="0.25">
      <c r="A143" s="40" t="s">
        <v>281</v>
      </c>
      <c r="B143" s="40">
        <v>29.7</v>
      </c>
      <c r="C143" s="40"/>
    </row>
    <row r="144" spans="1:3" x14ac:dyDescent="0.25">
      <c r="A144" s="40" t="s">
        <v>271</v>
      </c>
      <c r="B144" s="40">
        <v>29.7</v>
      </c>
      <c r="C144" s="40"/>
    </row>
    <row r="145" spans="1:3" x14ac:dyDescent="0.25">
      <c r="A145" s="40" t="s">
        <v>183</v>
      </c>
      <c r="B145" s="40">
        <v>29.5</v>
      </c>
      <c r="C145" s="40"/>
    </row>
    <row r="146" spans="1:3" x14ac:dyDescent="0.25">
      <c r="A146" s="40" t="s">
        <v>352</v>
      </c>
      <c r="B146" s="40">
        <v>29.4</v>
      </c>
      <c r="C146" s="40"/>
    </row>
    <row r="147" spans="1:3" x14ac:dyDescent="0.25">
      <c r="A147" s="40" t="s">
        <v>1001</v>
      </c>
      <c r="B147" s="40">
        <v>29.3</v>
      </c>
      <c r="C147" s="40"/>
    </row>
    <row r="148" spans="1:3" x14ac:dyDescent="0.25">
      <c r="A148" s="40" t="s">
        <v>200</v>
      </c>
      <c r="B148" s="40">
        <v>29.2</v>
      </c>
      <c r="C148" s="40"/>
    </row>
    <row r="149" spans="1:3" x14ac:dyDescent="0.25">
      <c r="A149" s="40" t="s">
        <v>191</v>
      </c>
      <c r="B149" s="40">
        <v>29.2</v>
      </c>
      <c r="C149" s="40"/>
    </row>
    <row r="150" spans="1:3" x14ac:dyDescent="0.25">
      <c r="A150" s="40" t="s">
        <v>325</v>
      </c>
      <c r="B150" s="40">
        <v>29.2</v>
      </c>
      <c r="C150" s="40"/>
    </row>
    <row r="151" spans="1:3" x14ac:dyDescent="0.25">
      <c r="A151" s="40" t="s">
        <v>275</v>
      </c>
      <c r="B151" s="40">
        <v>29.2</v>
      </c>
      <c r="C151" s="40"/>
    </row>
    <row r="152" spans="1:3" x14ac:dyDescent="0.25">
      <c r="A152" s="40" t="s">
        <v>949</v>
      </c>
      <c r="B152" s="40">
        <v>29</v>
      </c>
      <c r="C152" s="40"/>
    </row>
    <row r="153" spans="1:3" x14ac:dyDescent="0.25">
      <c r="A153" s="40" t="s">
        <v>1022</v>
      </c>
      <c r="B153" s="40">
        <v>28.9</v>
      </c>
      <c r="C153" s="40"/>
    </row>
    <row r="154" spans="1:3" x14ac:dyDescent="0.25">
      <c r="A154" s="40" t="s">
        <v>225</v>
      </c>
      <c r="B154" s="40">
        <v>28.8</v>
      </c>
      <c r="C154" s="40"/>
    </row>
    <row r="155" spans="1:3" x14ac:dyDescent="0.25">
      <c r="A155" s="40" t="s">
        <v>991</v>
      </c>
      <c r="B155" s="40">
        <v>28.4</v>
      </c>
      <c r="C155" s="40"/>
    </row>
    <row r="156" spans="1:3" x14ac:dyDescent="0.25">
      <c r="A156" s="40" t="s">
        <v>1025</v>
      </c>
      <c r="B156" s="40">
        <v>28.4</v>
      </c>
      <c r="C156" s="40"/>
    </row>
    <row r="157" spans="1:3" x14ac:dyDescent="0.25">
      <c r="A157" s="40" t="s">
        <v>188</v>
      </c>
      <c r="B157" s="40">
        <v>28.2</v>
      </c>
      <c r="C157" s="40"/>
    </row>
    <row r="158" spans="1:3" x14ac:dyDescent="0.25">
      <c r="A158" s="40" t="s">
        <v>340</v>
      </c>
      <c r="B158" s="40">
        <v>28.1</v>
      </c>
      <c r="C158" s="40"/>
    </row>
    <row r="159" spans="1:3" x14ac:dyDescent="0.25">
      <c r="A159" s="40" t="s">
        <v>223</v>
      </c>
      <c r="B159" s="40">
        <v>28</v>
      </c>
      <c r="C159" s="40"/>
    </row>
    <row r="160" spans="1:3" x14ac:dyDescent="0.25">
      <c r="A160" s="40" t="s">
        <v>937</v>
      </c>
      <c r="B160" s="40">
        <v>28</v>
      </c>
      <c r="C160" s="40"/>
    </row>
    <row r="161" spans="1:3" x14ac:dyDescent="0.25">
      <c r="A161" s="40" t="s">
        <v>1015</v>
      </c>
      <c r="B161" s="40">
        <v>28</v>
      </c>
      <c r="C161" s="40"/>
    </row>
    <row r="162" spans="1:3" x14ac:dyDescent="0.25">
      <c r="A162" s="40" t="s">
        <v>939</v>
      </c>
      <c r="B162" s="40">
        <v>27.9</v>
      </c>
      <c r="C162" s="40"/>
    </row>
    <row r="163" spans="1:3" x14ac:dyDescent="0.25">
      <c r="A163" s="40" t="s">
        <v>216</v>
      </c>
      <c r="B163" s="40">
        <v>27.9</v>
      </c>
      <c r="C163" s="40"/>
    </row>
    <row r="164" spans="1:3" x14ac:dyDescent="0.25">
      <c r="A164" s="40" t="s">
        <v>331</v>
      </c>
      <c r="B164" s="40">
        <v>27.9</v>
      </c>
      <c r="C164" s="40"/>
    </row>
    <row r="165" spans="1:3" x14ac:dyDescent="0.25">
      <c r="A165" s="40" t="s">
        <v>240</v>
      </c>
      <c r="B165" s="40">
        <v>27.8</v>
      </c>
      <c r="C165" s="40"/>
    </row>
    <row r="166" spans="1:3" x14ac:dyDescent="0.25">
      <c r="A166" s="40" t="s">
        <v>310</v>
      </c>
      <c r="B166" s="40">
        <v>27.5</v>
      </c>
      <c r="C166" s="40"/>
    </row>
    <row r="167" spans="1:3" x14ac:dyDescent="0.25">
      <c r="A167" s="40" t="s">
        <v>313</v>
      </c>
      <c r="B167" s="40">
        <v>27.4</v>
      </c>
      <c r="C167" s="40"/>
    </row>
    <row r="168" spans="1:3" x14ac:dyDescent="0.25">
      <c r="A168" s="40" t="s">
        <v>1041</v>
      </c>
      <c r="B168" s="40">
        <v>27.4</v>
      </c>
      <c r="C168" s="40"/>
    </row>
    <row r="169" spans="1:3" x14ac:dyDescent="0.25">
      <c r="A169" s="40" t="s">
        <v>983</v>
      </c>
      <c r="B169" s="40">
        <v>27.2</v>
      </c>
      <c r="C169" s="40"/>
    </row>
    <row r="170" spans="1:3" x14ac:dyDescent="0.25">
      <c r="A170" s="40" t="s">
        <v>1053</v>
      </c>
      <c r="B170" s="40">
        <v>27.1</v>
      </c>
      <c r="C170" s="40"/>
    </row>
    <row r="171" spans="1:3" x14ac:dyDescent="0.25">
      <c r="A171" s="40" t="s">
        <v>213</v>
      </c>
      <c r="B171" s="40">
        <v>27</v>
      </c>
      <c r="C171" s="40"/>
    </row>
    <row r="172" spans="1:3" x14ac:dyDescent="0.25">
      <c r="A172" s="40" t="s">
        <v>955</v>
      </c>
      <c r="B172" s="40">
        <v>27</v>
      </c>
      <c r="C172" s="40"/>
    </row>
    <row r="173" spans="1:3" x14ac:dyDescent="0.25">
      <c r="A173" s="40" t="s">
        <v>328</v>
      </c>
      <c r="B173" s="40">
        <v>26.9</v>
      </c>
      <c r="C173" s="40"/>
    </row>
    <row r="174" spans="1:3" x14ac:dyDescent="0.25">
      <c r="A174" s="40" t="s">
        <v>930</v>
      </c>
      <c r="B174" s="40">
        <v>26.8</v>
      </c>
      <c r="C174" s="40"/>
    </row>
    <row r="175" spans="1:3" x14ac:dyDescent="0.25">
      <c r="A175" s="40" t="s">
        <v>278</v>
      </c>
      <c r="B175" s="40">
        <v>26.7</v>
      </c>
      <c r="C175" s="40"/>
    </row>
    <row r="176" spans="1:3" x14ac:dyDescent="0.25">
      <c r="A176" s="40" t="s">
        <v>273</v>
      </c>
      <c r="B176" s="40">
        <v>26.6</v>
      </c>
      <c r="C176" s="40"/>
    </row>
    <row r="177" spans="1:3" x14ac:dyDescent="0.25">
      <c r="A177" s="40" t="s">
        <v>1023</v>
      </c>
      <c r="B177" s="40">
        <v>26.6</v>
      </c>
      <c r="C177" s="40"/>
    </row>
    <row r="178" spans="1:3" x14ac:dyDescent="0.25">
      <c r="A178" s="40" t="s">
        <v>928</v>
      </c>
      <c r="B178" s="40">
        <v>26.4</v>
      </c>
      <c r="C178" s="40"/>
    </row>
    <row r="179" spans="1:3" x14ac:dyDescent="0.25">
      <c r="A179" s="40" t="s">
        <v>1005</v>
      </c>
      <c r="B179" s="40">
        <v>26.4</v>
      </c>
      <c r="C179" s="40"/>
    </row>
    <row r="180" spans="1:3" x14ac:dyDescent="0.25">
      <c r="A180" s="40" t="s">
        <v>211</v>
      </c>
      <c r="B180" s="40">
        <v>26</v>
      </c>
      <c r="C180" s="40"/>
    </row>
    <row r="181" spans="1:3" x14ac:dyDescent="0.25">
      <c r="A181" s="40" t="s">
        <v>186</v>
      </c>
      <c r="B181" s="40">
        <v>26</v>
      </c>
      <c r="C181" s="40"/>
    </row>
    <row r="182" spans="1:3" x14ac:dyDescent="0.25">
      <c r="A182" s="40" t="s">
        <v>348</v>
      </c>
      <c r="B182" s="40">
        <v>25.9</v>
      </c>
      <c r="C182" s="40"/>
    </row>
    <row r="183" spans="1:3" x14ac:dyDescent="0.25">
      <c r="A183" s="40" t="s">
        <v>198</v>
      </c>
      <c r="B183" s="40">
        <v>25.9</v>
      </c>
      <c r="C183" s="40"/>
    </row>
    <row r="184" spans="1:3" x14ac:dyDescent="0.25">
      <c r="A184" s="40" t="s">
        <v>298</v>
      </c>
      <c r="B184" s="40">
        <v>25.8</v>
      </c>
      <c r="C184" s="40"/>
    </row>
    <row r="185" spans="1:3" x14ac:dyDescent="0.25">
      <c r="A185" s="40" t="s">
        <v>972</v>
      </c>
      <c r="B185" s="40">
        <v>25.8</v>
      </c>
      <c r="C185" s="40"/>
    </row>
    <row r="186" spans="1:3" x14ac:dyDescent="0.25">
      <c r="A186" s="40" t="s">
        <v>193</v>
      </c>
      <c r="B186" s="40">
        <v>25.8</v>
      </c>
      <c r="C186" s="40"/>
    </row>
    <row r="187" spans="1:3" x14ac:dyDescent="0.25">
      <c r="A187" s="40" t="s">
        <v>1036</v>
      </c>
      <c r="B187" s="40">
        <v>25.8</v>
      </c>
      <c r="C187" s="40"/>
    </row>
    <row r="188" spans="1:3" x14ac:dyDescent="0.25">
      <c r="A188" s="40" t="s">
        <v>948</v>
      </c>
      <c r="B188" s="40">
        <v>25.7</v>
      </c>
      <c r="C188" s="40"/>
    </row>
    <row r="189" spans="1:3" x14ac:dyDescent="0.25">
      <c r="A189" s="40" t="s">
        <v>243</v>
      </c>
      <c r="B189" s="40">
        <v>25.7</v>
      </c>
      <c r="C189" s="40"/>
    </row>
    <row r="190" spans="1:3" x14ac:dyDescent="0.25">
      <c r="A190" s="40" t="s">
        <v>1046</v>
      </c>
      <c r="B190" s="40">
        <v>25.7</v>
      </c>
      <c r="C190" s="40"/>
    </row>
    <row r="191" spans="1:3" x14ac:dyDescent="0.25">
      <c r="A191" s="40" t="s">
        <v>962</v>
      </c>
      <c r="B191" s="40">
        <v>25.6</v>
      </c>
      <c r="C191" s="40"/>
    </row>
    <row r="192" spans="1:3" x14ac:dyDescent="0.25">
      <c r="A192" s="40" t="s">
        <v>1016</v>
      </c>
      <c r="B192" s="40">
        <v>25.5</v>
      </c>
      <c r="C192" s="40"/>
    </row>
    <row r="193" spans="1:3" x14ac:dyDescent="0.25">
      <c r="A193" s="40" t="s">
        <v>977</v>
      </c>
      <c r="B193" s="40">
        <v>25.2</v>
      </c>
      <c r="C193" s="40"/>
    </row>
    <row r="194" spans="1:3" x14ac:dyDescent="0.25">
      <c r="A194" s="40" t="s">
        <v>197</v>
      </c>
      <c r="B194" s="40">
        <v>25</v>
      </c>
      <c r="C194" s="40"/>
    </row>
    <row r="195" spans="1:3" x14ac:dyDescent="0.25">
      <c r="A195" s="40" t="s">
        <v>933</v>
      </c>
      <c r="B195" s="40">
        <v>24.9</v>
      </c>
      <c r="C195" s="40"/>
    </row>
    <row r="196" spans="1:3" x14ac:dyDescent="0.25">
      <c r="A196" s="40" t="s">
        <v>931</v>
      </c>
      <c r="B196" s="40">
        <v>24.8</v>
      </c>
      <c r="C196" s="40"/>
    </row>
    <row r="197" spans="1:3" x14ac:dyDescent="0.25">
      <c r="A197" s="40" t="s">
        <v>966</v>
      </c>
      <c r="B197" s="40">
        <v>24.8</v>
      </c>
      <c r="C197" s="40"/>
    </row>
    <row r="198" spans="1:3" x14ac:dyDescent="0.25">
      <c r="A198" s="40" t="s">
        <v>1007</v>
      </c>
      <c r="B198" s="40">
        <v>24.7</v>
      </c>
      <c r="C198" s="40"/>
    </row>
    <row r="199" spans="1:3" x14ac:dyDescent="0.25">
      <c r="A199" s="40" t="s">
        <v>1011</v>
      </c>
      <c r="B199" s="40">
        <v>24.7</v>
      </c>
      <c r="C199" s="40"/>
    </row>
    <row r="200" spans="1:3" x14ac:dyDescent="0.25">
      <c r="A200" s="40" t="s">
        <v>251</v>
      </c>
      <c r="B200" s="40">
        <v>24.6</v>
      </c>
      <c r="C200" s="40"/>
    </row>
    <row r="201" spans="1:3" x14ac:dyDescent="0.25">
      <c r="A201" t="s">
        <v>268</v>
      </c>
      <c r="B201">
        <v>24.4</v>
      </c>
    </row>
    <row r="202" spans="1:3" x14ac:dyDescent="0.25">
      <c r="A202" t="s">
        <v>232</v>
      </c>
      <c r="B202">
        <v>24.4</v>
      </c>
    </row>
    <row r="203" spans="1:3" x14ac:dyDescent="0.25">
      <c r="A203" t="s">
        <v>255</v>
      </c>
      <c r="B203">
        <v>24.4</v>
      </c>
    </row>
    <row r="204" spans="1:3" x14ac:dyDescent="0.25">
      <c r="A204" t="s">
        <v>329</v>
      </c>
      <c r="B204">
        <v>24.3</v>
      </c>
    </row>
    <row r="205" spans="1:3" x14ac:dyDescent="0.25">
      <c r="A205" t="s">
        <v>259</v>
      </c>
      <c r="B205">
        <v>24.3</v>
      </c>
    </row>
    <row r="206" spans="1:3" x14ac:dyDescent="0.25">
      <c r="A206" t="s">
        <v>204</v>
      </c>
      <c r="B206">
        <v>24.2</v>
      </c>
    </row>
    <row r="207" spans="1:3" x14ac:dyDescent="0.25">
      <c r="A207" t="s">
        <v>998</v>
      </c>
      <c r="B207">
        <v>24.2</v>
      </c>
    </row>
    <row r="208" spans="1:3" x14ac:dyDescent="0.25">
      <c r="A208" t="s">
        <v>227</v>
      </c>
      <c r="B208">
        <v>24.1</v>
      </c>
    </row>
    <row r="209" spans="1:2" x14ac:dyDescent="0.25">
      <c r="A209" t="s">
        <v>247</v>
      </c>
      <c r="B209">
        <v>23.9</v>
      </c>
    </row>
    <row r="210" spans="1:2" x14ac:dyDescent="0.25">
      <c r="A210" t="s">
        <v>974</v>
      </c>
      <c r="B210">
        <v>23.9</v>
      </c>
    </row>
    <row r="211" spans="1:2" x14ac:dyDescent="0.25">
      <c r="A211" t="s">
        <v>302</v>
      </c>
      <c r="B211">
        <v>23.8</v>
      </c>
    </row>
    <row r="212" spans="1:2" x14ac:dyDescent="0.25">
      <c r="A212" t="s">
        <v>196</v>
      </c>
      <c r="B212">
        <v>23.8</v>
      </c>
    </row>
    <row r="213" spans="1:2" x14ac:dyDescent="0.25">
      <c r="A213" t="s">
        <v>309</v>
      </c>
      <c r="B213">
        <v>23.7</v>
      </c>
    </row>
    <row r="214" spans="1:2" x14ac:dyDescent="0.25">
      <c r="A214" t="s">
        <v>935</v>
      </c>
      <c r="B214">
        <v>23.4</v>
      </c>
    </row>
    <row r="215" spans="1:2" x14ac:dyDescent="0.25">
      <c r="A215" t="s">
        <v>968</v>
      </c>
      <c r="B215">
        <v>23.4</v>
      </c>
    </row>
    <row r="216" spans="1:2" x14ac:dyDescent="0.25">
      <c r="A216" t="s">
        <v>1012</v>
      </c>
      <c r="B216">
        <v>23.2</v>
      </c>
    </row>
    <row r="217" spans="1:2" x14ac:dyDescent="0.25">
      <c r="A217" t="s">
        <v>332</v>
      </c>
      <c r="B217">
        <v>23.2</v>
      </c>
    </row>
    <row r="218" spans="1:2" x14ac:dyDescent="0.25">
      <c r="A218" t="s">
        <v>349</v>
      </c>
      <c r="B218">
        <v>23.2</v>
      </c>
    </row>
    <row r="219" spans="1:2" x14ac:dyDescent="0.25">
      <c r="A219" t="s">
        <v>1017</v>
      </c>
      <c r="B219">
        <v>23.1</v>
      </c>
    </row>
    <row r="220" spans="1:2" x14ac:dyDescent="0.25">
      <c r="A220" t="s">
        <v>303</v>
      </c>
      <c r="B220">
        <v>23</v>
      </c>
    </row>
    <row r="221" spans="1:2" x14ac:dyDescent="0.25">
      <c r="A221" t="s">
        <v>296</v>
      </c>
      <c r="B221">
        <v>23</v>
      </c>
    </row>
    <row r="222" spans="1:2" x14ac:dyDescent="0.25">
      <c r="A222" t="s">
        <v>300</v>
      </c>
      <c r="B222">
        <v>23</v>
      </c>
    </row>
    <row r="223" spans="1:2" x14ac:dyDescent="0.25">
      <c r="A223" t="s">
        <v>339</v>
      </c>
      <c r="B223">
        <v>22.8</v>
      </c>
    </row>
    <row r="224" spans="1:2" x14ac:dyDescent="0.25">
      <c r="A224" t="s">
        <v>330</v>
      </c>
      <c r="B224">
        <v>22.7</v>
      </c>
    </row>
    <row r="225" spans="1:2" x14ac:dyDescent="0.25">
      <c r="A225" t="s">
        <v>224</v>
      </c>
      <c r="B225">
        <v>22.7</v>
      </c>
    </row>
    <row r="226" spans="1:2" x14ac:dyDescent="0.25">
      <c r="A226" t="s">
        <v>333</v>
      </c>
      <c r="B226">
        <v>22.6</v>
      </c>
    </row>
    <row r="227" spans="1:2" x14ac:dyDescent="0.25">
      <c r="A227" t="s">
        <v>970</v>
      </c>
      <c r="B227">
        <v>22.5</v>
      </c>
    </row>
    <row r="228" spans="1:2" x14ac:dyDescent="0.25">
      <c r="A228" t="s">
        <v>218</v>
      </c>
      <c r="B228">
        <v>22.5</v>
      </c>
    </row>
    <row r="229" spans="1:2" x14ac:dyDescent="0.25">
      <c r="A229" t="s">
        <v>938</v>
      </c>
      <c r="B229">
        <v>22.4</v>
      </c>
    </row>
    <row r="230" spans="1:2" x14ac:dyDescent="0.25">
      <c r="A230" t="s">
        <v>952</v>
      </c>
      <c r="B230">
        <v>22.3</v>
      </c>
    </row>
    <row r="231" spans="1:2" x14ac:dyDescent="0.25">
      <c r="A231" t="s">
        <v>261</v>
      </c>
      <c r="B231">
        <v>22.3</v>
      </c>
    </row>
    <row r="232" spans="1:2" x14ac:dyDescent="0.25">
      <c r="A232" t="s">
        <v>975</v>
      </c>
      <c r="B232">
        <v>22.2</v>
      </c>
    </row>
    <row r="233" spans="1:2" x14ac:dyDescent="0.25">
      <c r="A233" t="s">
        <v>345</v>
      </c>
      <c r="B233">
        <v>22.1</v>
      </c>
    </row>
    <row r="234" spans="1:2" x14ac:dyDescent="0.25">
      <c r="A234" t="s">
        <v>203</v>
      </c>
      <c r="B234">
        <v>21.9</v>
      </c>
    </row>
    <row r="235" spans="1:2" x14ac:dyDescent="0.25">
      <c r="A235" t="s">
        <v>943</v>
      </c>
      <c r="B235">
        <v>21.4</v>
      </c>
    </row>
    <row r="236" spans="1:2" x14ac:dyDescent="0.25">
      <c r="A236" t="s">
        <v>290</v>
      </c>
      <c r="B236">
        <v>21.4</v>
      </c>
    </row>
    <row r="237" spans="1:2" x14ac:dyDescent="0.25">
      <c r="A237" t="s">
        <v>976</v>
      </c>
      <c r="B237">
        <v>21.3</v>
      </c>
    </row>
    <row r="238" spans="1:2" x14ac:dyDescent="0.25">
      <c r="A238" t="s">
        <v>985</v>
      </c>
      <c r="B238">
        <v>21.3</v>
      </c>
    </row>
    <row r="239" spans="1:2" x14ac:dyDescent="0.25">
      <c r="A239" t="s">
        <v>940</v>
      </c>
      <c r="B239">
        <v>21.2</v>
      </c>
    </row>
    <row r="240" spans="1:2" x14ac:dyDescent="0.25">
      <c r="A240" t="s">
        <v>249</v>
      </c>
      <c r="B240">
        <v>21.2</v>
      </c>
    </row>
    <row r="241" spans="1:2" x14ac:dyDescent="0.25">
      <c r="A241" t="s">
        <v>959</v>
      </c>
      <c r="B241">
        <v>21.1</v>
      </c>
    </row>
    <row r="242" spans="1:2" x14ac:dyDescent="0.25">
      <c r="A242" t="s">
        <v>964</v>
      </c>
      <c r="B242">
        <v>21</v>
      </c>
    </row>
    <row r="243" spans="1:2" x14ac:dyDescent="0.25">
      <c r="A243" t="s">
        <v>241</v>
      </c>
      <c r="B243">
        <v>20.7</v>
      </c>
    </row>
    <row r="244" spans="1:2" x14ac:dyDescent="0.25">
      <c r="A244" t="s">
        <v>980</v>
      </c>
      <c r="B244">
        <v>20.6</v>
      </c>
    </row>
    <row r="245" spans="1:2" x14ac:dyDescent="0.25">
      <c r="A245" t="s">
        <v>1031</v>
      </c>
      <c r="B245">
        <v>20.6</v>
      </c>
    </row>
    <row r="246" spans="1:2" x14ac:dyDescent="0.25">
      <c r="A246" t="s">
        <v>212</v>
      </c>
      <c r="B246">
        <v>20.6</v>
      </c>
    </row>
    <row r="247" spans="1:2" x14ac:dyDescent="0.25">
      <c r="A247" t="s">
        <v>942</v>
      </c>
      <c r="B247">
        <v>20.3</v>
      </c>
    </row>
    <row r="248" spans="1:2" x14ac:dyDescent="0.25">
      <c r="A248" t="s">
        <v>971</v>
      </c>
      <c r="B248">
        <v>20.2</v>
      </c>
    </row>
    <row r="249" spans="1:2" x14ac:dyDescent="0.25">
      <c r="A249" t="s">
        <v>263</v>
      </c>
      <c r="B249">
        <v>20</v>
      </c>
    </row>
    <row r="250" spans="1:2" x14ac:dyDescent="0.25">
      <c r="A250" t="s">
        <v>208</v>
      </c>
      <c r="B250">
        <v>20</v>
      </c>
    </row>
    <row r="251" spans="1:2" x14ac:dyDescent="0.25">
      <c r="A251" t="s">
        <v>291</v>
      </c>
      <c r="B251">
        <v>19.8</v>
      </c>
    </row>
    <row r="252" spans="1:2" x14ac:dyDescent="0.25">
      <c r="A252" t="s">
        <v>336</v>
      </c>
      <c r="B252">
        <v>19.600000000000001</v>
      </c>
    </row>
    <row r="253" spans="1:2" x14ac:dyDescent="0.25">
      <c r="A253" t="s">
        <v>1049</v>
      </c>
      <c r="B253">
        <v>19.600000000000001</v>
      </c>
    </row>
    <row r="254" spans="1:2" x14ac:dyDescent="0.25">
      <c r="A254" t="s">
        <v>958</v>
      </c>
      <c r="B254">
        <v>19.5</v>
      </c>
    </row>
    <row r="255" spans="1:2" x14ac:dyDescent="0.25">
      <c r="A255" t="s">
        <v>1044</v>
      </c>
      <c r="B255">
        <v>19.2</v>
      </c>
    </row>
    <row r="256" spans="1:2" x14ac:dyDescent="0.25">
      <c r="A256" t="s">
        <v>280</v>
      </c>
      <c r="B256">
        <v>19.100000000000001</v>
      </c>
    </row>
    <row r="257" spans="1:2" x14ac:dyDescent="0.25">
      <c r="A257" t="s">
        <v>984</v>
      </c>
      <c r="B257">
        <v>18.8</v>
      </c>
    </row>
    <row r="258" spans="1:2" x14ac:dyDescent="0.25">
      <c r="A258" t="s">
        <v>1020</v>
      </c>
      <c r="B258">
        <v>18.8</v>
      </c>
    </row>
    <row r="259" spans="1:2" x14ac:dyDescent="0.25">
      <c r="A259" t="s">
        <v>1004</v>
      </c>
      <c r="B259">
        <v>18.2</v>
      </c>
    </row>
    <row r="260" spans="1:2" x14ac:dyDescent="0.25">
      <c r="A260" t="s">
        <v>294</v>
      </c>
      <c r="B260">
        <v>18.100000000000001</v>
      </c>
    </row>
    <row r="261" spans="1:2" x14ac:dyDescent="0.25">
      <c r="A261" t="s">
        <v>279</v>
      </c>
      <c r="B261">
        <v>18</v>
      </c>
    </row>
    <row r="262" spans="1:2" x14ac:dyDescent="0.25">
      <c r="A262" t="s">
        <v>953</v>
      </c>
      <c r="B262">
        <v>17.600000000000001</v>
      </c>
    </row>
    <row r="263" spans="1:2" x14ac:dyDescent="0.25">
      <c r="A263" t="s">
        <v>996</v>
      </c>
      <c r="B263">
        <v>17.600000000000001</v>
      </c>
    </row>
    <row r="264" spans="1:2" x14ac:dyDescent="0.25">
      <c r="A264" t="s">
        <v>954</v>
      </c>
      <c r="B264">
        <v>17.2</v>
      </c>
    </row>
    <row r="265" spans="1:2" x14ac:dyDescent="0.25">
      <c r="A265" t="s">
        <v>293</v>
      </c>
      <c r="B265">
        <v>17.2</v>
      </c>
    </row>
    <row r="266" spans="1:2" x14ac:dyDescent="0.25">
      <c r="A266" t="s">
        <v>236</v>
      </c>
      <c r="B266">
        <v>17.2</v>
      </c>
    </row>
    <row r="267" spans="1:2" x14ac:dyDescent="0.25">
      <c r="A267" t="s">
        <v>965</v>
      </c>
      <c r="B267">
        <v>17.100000000000001</v>
      </c>
    </row>
    <row r="268" spans="1:2" x14ac:dyDescent="0.25">
      <c r="A268" t="s">
        <v>988</v>
      </c>
      <c r="B268">
        <v>17</v>
      </c>
    </row>
    <row r="269" spans="1:2" x14ac:dyDescent="0.25">
      <c r="A269" t="s">
        <v>956</v>
      </c>
      <c r="B269">
        <v>16.899999999999999</v>
      </c>
    </row>
    <row r="270" spans="1:2" x14ac:dyDescent="0.25">
      <c r="A270" t="s">
        <v>1032</v>
      </c>
      <c r="B270">
        <v>16.8</v>
      </c>
    </row>
    <row r="271" spans="1:2" x14ac:dyDescent="0.25">
      <c r="A271" t="s">
        <v>990</v>
      </c>
      <c r="B271">
        <v>16</v>
      </c>
    </row>
    <row r="272" spans="1:2" x14ac:dyDescent="0.25">
      <c r="A272" t="s">
        <v>343</v>
      </c>
      <c r="B272">
        <v>16</v>
      </c>
    </row>
    <row r="273" spans="1:2" x14ac:dyDescent="0.25">
      <c r="A273" t="s">
        <v>961</v>
      </c>
      <c r="B273">
        <v>15.9</v>
      </c>
    </row>
    <row r="274" spans="1:2" x14ac:dyDescent="0.25">
      <c r="A274" t="s">
        <v>301</v>
      </c>
      <c r="B274">
        <v>15.7</v>
      </c>
    </row>
    <row r="275" spans="1:2" x14ac:dyDescent="0.25">
      <c r="A275" t="s">
        <v>254</v>
      </c>
      <c r="B275">
        <v>15.6</v>
      </c>
    </row>
    <row r="276" spans="1:2" x14ac:dyDescent="0.25">
      <c r="A276" t="s">
        <v>1051</v>
      </c>
      <c r="B276">
        <v>15.5</v>
      </c>
    </row>
    <row r="277" spans="1:2" x14ac:dyDescent="0.25">
      <c r="A277" t="s">
        <v>323</v>
      </c>
      <c r="B277">
        <v>15.2</v>
      </c>
    </row>
    <row r="278" spans="1:2" x14ac:dyDescent="0.25">
      <c r="A278" t="s">
        <v>326</v>
      </c>
      <c r="B278">
        <v>15.2</v>
      </c>
    </row>
    <row r="279" spans="1:2" x14ac:dyDescent="0.25">
      <c r="A279" t="s">
        <v>1026</v>
      </c>
      <c r="B279">
        <v>15.1</v>
      </c>
    </row>
    <row r="280" spans="1:2" x14ac:dyDescent="0.25">
      <c r="A280" t="s">
        <v>1028</v>
      </c>
      <c r="B280">
        <v>15</v>
      </c>
    </row>
    <row r="281" spans="1:2" x14ac:dyDescent="0.25">
      <c r="A281" t="s">
        <v>260</v>
      </c>
      <c r="B281">
        <v>14.9</v>
      </c>
    </row>
    <row r="282" spans="1:2" x14ac:dyDescent="0.25">
      <c r="A282" t="s">
        <v>262</v>
      </c>
      <c r="B282">
        <v>14.7</v>
      </c>
    </row>
    <row r="283" spans="1:2" x14ac:dyDescent="0.25">
      <c r="A283" t="s">
        <v>264</v>
      </c>
      <c r="B283">
        <v>14.6</v>
      </c>
    </row>
    <row r="284" spans="1:2" x14ac:dyDescent="0.25">
      <c r="A284" t="s">
        <v>1038</v>
      </c>
      <c r="B284">
        <v>14.3</v>
      </c>
    </row>
    <row r="285" spans="1:2" x14ac:dyDescent="0.25">
      <c r="A285" t="s">
        <v>973</v>
      </c>
      <c r="B285">
        <v>13.9</v>
      </c>
    </row>
    <row r="286" spans="1:2" x14ac:dyDescent="0.25">
      <c r="A286" t="s">
        <v>1042</v>
      </c>
      <c r="B286">
        <v>13.9</v>
      </c>
    </row>
    <row r="287" spans="1:2" x14ac:dyDescent="0.25">
      <c r="A287" t="s">
        <v>1029</v>
      </c>
      <c r="B287">
        <v>13.6</v>
      </c>
    </row>
    <row r="288" spans="1:2" x14ac:dyDescent="0.25">
      <c r="A288" t="s">
        <v>277</v>
      </c>
      <c r="B288">
        <v>13.5</v>
      </c>
    </row>
    <row r="289" spans="1:2" x14ac:dyDescent="0.25">
      <c r="A289" t="s">
        <v>1054</v>
      </c>
      <c r="B289">
        <v>13.4</v>
      </c>
    </row>
    <row r="290" spans="1:2" x14ac:dyDescent="0.25">
      <c r="A290" t="s">
        <v>305</v>
      </c>
      <c r="B290">
        <v>13.2</v>
      </c>
    </row>
    <row r="291" spans="1:2" x14ac:dyDescent="0.25">
      <c r="A291" t="s">
        <v>1033</v>
      </c>
      <c r="B291">
        <v>12.4</v>
      </c>
    </row>
    <row r="292" spans="1:2" x14ac:dyDescent="0.25">
      <c r="A292" t="s">
        <v>995</v>
      </c>
      <c r="B292">
        <v>12.3</v>
      </c>
    </row>
    <row r="293" spans="1:2" x14ac:dyDescent="0.25">
      <c r="A293" t="s">
        <v>1013</v>
      </c>
      <c r="B293">
        <v>12.3</v>
      </c>
    </row>
    <row r="294" spans="1:2" x14ac:dyDescent="0.25">
      <c r="A294" t="s">
        <v>1014</v>
      </c>
      <c r="B294">
        <v>11.7</v>
      </c>
    </row>
    <row r="295" spans="1:2" x14ac:dyDescent="0.25">
      <c r="A295" t="s">
        <v>1045</v>
      </c>
      <c r="B295">
        <v>11.4</v>
      </c>
    </row>
    <row r="296" spans="1:2" x14ac:dyDescent="0.25">
      <c r="A296" t="s">
        <v>986</v>
      </c>
      <c r="B296">
        <v>11.2</v>
      </c>
    </row>
    <row r="297" spans="1:2" x14ac:dyDescent="0.25">
      <c r="A297" t="s">
        <v>994</v>
      </c>
      <c r="B297">
        <v>11.2</v>
      </c>
    </row>
    <row r="298" spans="1:2" x14ac:dyDescent="0.25">
      <c r="A298" t="s">
        <v>989</v>
      </c>
      <c r="B298">
        <v>11.1</v>
      </c>
    </row>
    <row r="299" spans="1:2" x14ac:dyDescent="0.25">
      <c r="A299" t="s">
        <v>1034</v>
      </c>
      <c r="B299">
        <v>10.8</v>
      </c>
    </row>
    <row r="300" spans="1:2" x14ac:dyDescent="0.25">
      <c r="A300" t="s">
        <v>1040</v>
      </c>
      <c r="B300">
        <v>10</v>
      </c>
    </row>
    <row r="301" spans="1:2" x14ac:dyDescent="0.25">
      <c r="A301" t="s">
        <v>997</v>
      </c>
      <c r="B301">
        <v>9.9</v>
      </c>
    </row>
    <row r="302" spans="1:2" x14ac:dyDescent="0.25">
      <c r="A302" t="s">
        <v>1043</v>
      </c>
      <c r="B302">
        <v>8.6999999999999993</v>
      </c>
    </row>
    <row r="303" spans="1:2" x14ac:dyDescent="0.25">
      <c r="A303" t="s">
        <v>1037</v>
      </c>
      <c r="B303">
        <v>8.4</v>
      </c>
    </row>
    <row r="304" spans="1:2" x14ac:dyDescent="0.25">
      <c r="A304" t="s">
        <v>344</v>
      </c>
      <c r="B304">
        <v>7.6</v>
      </c>
    </row>
    <row r="305" spans="1:2" x14ac:dyDescent="0.25">
      <c r="A305" t="s">
        <v>1047</v>
      </c>
      <c r="B305">
        <v>6.5</v>
      </c>
    </row>
    <row r="306" spans="1:2" x14ac:dyDescent="0.25">
      <c r="A306" t="s">
        <v>1039</v>
      </c>
      <c r="B306">
        <v>6.2</v>
      </c>
    </row>
    <row r="307" spans="1:2" x14ac:dyDescent="0.25">
      <c r="A307" t="s">
        <v>1048</v>
      </c>
      <c r="B307">
        <v>4.4000000000000004</v>
      </c>
    </row>
  </sheetData>
  <sortState ref="A1:B307">
    <sortCondition descending="1" ref="B1:B30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4"/>
  <sheetViews>
    <sheetView workbookViewId="0">
      <selection activeCell="F6" sqref="F6"/>
    </sheetView>
  </sheetViews>
  <sheetFormatPr defaultRowHeight="15" x14ac:dyDescent="0.25"/>
  <cols>
    <col min="2" max="2" width="22.7109375" bestFit="1" customWidth="1"/>
  </cols>
  <sheetData>
    <row r="1" spans="1:4" x14ac:dyDescent="0.25">
      <c r="A1" t="str">
        <f>FanduelExcel!B2</f>
        <v>C</v>
      </c>
      <c r="B1" t="str">
        <f>FanduelExcel!C2&amp;" "&amp;FanduelExcel!E2</f>
        <v>DeMarcus Cousins</v>
      </c>
      <c r="C1">
        <f>FanduelExcel!H2</f>
        <v>11200</v>
      </c>
      <c r="D1">
        <f>FanduelExcel!L2</f>
        <v>0</v>
      </c>
    </row>
    <row r="2" spans="1:4" x14ac:dyDescent="0.25">
      <c r="A2" s="40" t="str">
        <f>FanduelExcel!B3</f>
        <v>SG</v>
      </c>
      <c r="B2" s="40" t="str">
        <f>FanduelExcel!C3&amp;" "&amp;FanduelExcel!E3</f>
        <v>Giannis Antetokounmpo</v>
      </c>
      <c r="C2" s="40">
        <f>FanduelExcel!H3</f>
        <v>11200</v>
      </c>
      <c r="D2" s="40">
        <f>FanduelExcel!L3</f>
        <v>0</v>
      </c>
    </row>
    <row r="3" spans="1:4" x14ac:dyDescent="0.25">
      <c r="A3" s="40" t="str">
        <f>FanduelExcel!B4</f>
        <v>PF</v>
      </c>
      <c r="B3" s="40" t="str">
        <f>FanduelExcel!C4&amp;" "&amp;FanduelExcel!E4</f>
        <v>Anthony Davis</v>
      </c>
      <c r="C3" s="40">
        <f>FanduelExcel!H4</f>
        <v>10900</v>
      </c>
      <c r="D3" s="40">
        <f>FanduelExcel!L4</f>
        <v>0</v>
      </c>
    </row>
    <row r="4" spans="1:4" x14ac:dyDescent="0.25">
      <c r="A4" s="40" t="str">
        <f>FanduelExcel!B5</f>
        <v>C</v>
      </c>
      <c r="B4" s="40" t="str">
        <f>FanduelExcel!C5&amp;" "&amp;FanduelExcel!E5</f>
        <v>Karl-Anthony Towns</v>
      </c>
      <c r="C4" s="40">
        <f>FanduelExcel!H5</f>
        <v>10700</v>
      </c>
      <c r="D4" s="40">
        <f>FanduelExcel!L5</f>
        <v>0</v>
      </c>
    </row>
    <row r="5" spans="1:4" x14ac:dyDescent="0.25">
      <c r="A5" s="40" t="str">
        <f>FanduelExcel!B6</f>
        <v>PG</v>
      </c>
      <c r="B5" s="40" t="str">
        <f>FanduelExcel!C6&amp;" "&amp;FanduelExcel!E6</f>
        <v>John Wall</v>
      </c>
      <c r="C5" s="40">
        <f>FanduelExcel!H6</f>
        <v>10500</v>
      </c>
      <c r="D5" s="40">
        <f>FanduelExcel!L6</f>
        <v>0</v>
      </c>
    </row>
    <row r="6" spans="1:4" x14ac:dyDescent="0.25">
      <c r="A6" s="40" t="str">
        <f>FanduelExcel!B7</f>
        <v>SF</v>
      </c>
      <c r="B6" s="40" t="str">
        <f>FanduelExcel!C7&amp;" "&amp;FanduelExcel!E7</f>
        <v>Kevin Durant</v>
      </c>
      <c r="C6" s="40">
        <f>FanduelExcel!H7</f>
        <v>10300</v>
      </c>
      <c r="D6" s="40">
        <f>FanduelExcel!L7</f>
        <v>0</v>
      </c>
    </row>
    <row r="7" spans="1:4" x14ac:dyDescent="0.25">
      <c r="A7" s="40" t="str">
        <f>FanduelExcel!B8</f>
        <v>PF</v>
      </c>
      <c r="B7" s="40" t="str">
        <f>FanduelExcel!C8&amp;" "&amp;FanduelExcel!E8</f>
        <v>Nikola Jokic</v>
      </c>
      <c r="C7" s="40">
        <f>FanduelExcel!H8</f>
        <v>9900</v>
      </c>
      <c r="D7" s="40">
        <f>FanduelExcel!L8</f>
        <v>0</v>
      </c>
    </row>
    <row r="8" spans="1:4" x14ac:dyDescent="0.25">
      <c r="A8" s="40" t="str">
        <f>FanduelExcel!B9</f>
        <v>SF</v>
      </c>
      <c r="B8" s="40" t="str">
        <f>FanduelExcel!C9&amp;" "&amp;FanduelExcel!E9</f>
        <v>Kawhi Leonard</v>
      </c>
      <c r="C8" s="40">
        <f>FanduelExcel!H9</f>
        <v>9600</v>
      </c>
      <c r="D8" s="40">
        <f>FanduelExcel!L9</f>
        <v>0</v>
      </c>
    </row>
    <row r="9" spans="1:4" x14ac:dyDescent="0.25">
      <c r="A9" s="40" t="str">
        <f>FanduelExcel!B10</f>
        <v>SF</v>
      </c>
      <c r="B9" s="40" t="str">
        <f>FanduelExcel!C10&amp;" "&amp;FanduelExcel!E10</f>
        <v>Jimmy Butler</v>
      </c>
      <c r="C9" s="40">
        <f>FanduelExcel!H10</f>
        <v>9500</v>
      </c>
      <c r="D9" s="40" t="str">
        <f>FanduelExcel!L10</f>
        <v>GTD</v>
      </c>
    </row>
    <row r="10" spans="1:4" x14ac:dyDescent="0.25">
      <c r="A10" s="40" t="str">
        <f>FanduelExcel!B11</f>
        <v>PG</v>
      </c>
      <c r="B10" s="40" t="str">
        <f>FanduelExcel!C11&amp;" "&amp;FanduelExcel!E11</f>
        <v>Stephen Curry</v>
      </c>
      <c r="C10" s="40">
        <f>FanduelExcel!H11</f>
        <v>9500</v>
      </c>
      <c r="D10" s="40">
        <f>FanduelExcel!L11</f>
        <v>0</v>
      </c>
    </row>
    <row r="11" spans="1:4" x14ac:dyDescent="0.25">
      <c r="A11" s="40" t="str">
        <f>FanduelExcel!B12</f>
        <v>C</v>
      </c>
      <c r="B11" s="40" t="str">
        <f>FanduelExcel!C12&amp;" "&amp;FanduelExcel!E12</f>
        <v>Hassan Whiteside</v>
      </c>
      <c r="C11" s="40">
        <f>FanduelExcel!H12</f>
        <v>9100</v>
      </c>
      <c r="D11" s="40">
        <f>FanduelExcel!L12</f>
        <v>0</v>
      </c>
    </row>
    <row r="12" spans="1:4" x14ac:dyDescent="0.25">
      <c r="A12" s="40" t="str">
        <f>FanduelExcel!B13</f>
        <v>SF</v>
      </c>
      <c r="B12" s="40" t="str">
        <f>FanduelExcel!C13&amp;" "&amp;FanduelExcel!E13</f>
        <v>Paul George</v>
      </c>
      <c r="C12" s="40">
        <f>FanduelExcel!H13</f>
        <v>8700</v>
      </c>
      <c r="D12" s="40">
        <f>FanduelExcel!L13</f>
        <v>0</v>
      </c>
    </row>
    <row r="13" spans="1:4" x14ac:dyDescent="0.25">
      <c r="A13" s="40" t="str">
        <f>FanduelExcel!B14</f>
        <v>C</v>
      </c>
      <c r="B13" s="40" t="str">
        <f>FanduelExcel!C14&amp;" "&amp;FanduelExcel!E14</f>
        <v>Andre Drummond</v>
      </c>
      <c r="C13" s="40">
        <f>FanduelExcel!H14</f>
        <v>8700</v>
      </c>
      <c r="D13" s="40">
        <f>FanduelExcel!L14</f>
        <v>0</v>
      </c>
    </row>
    <row r="14" spans="1:4" x14ac:dyDescent="0.25">
      <c r="A14" s="40" t="str">
        <f>FanduelExcel!B15</f>
        <v>C</v>
      </c>
      <c r="B14" s="40" t="str">
        <f>FanduelExcel!C15&amp;" "&amp;FanduelExcel!E15</f>
        <v>Marc Gasol</v>
      </c>
      <c r="C14" s="40">
        <f>FanduelExcel!H15</f>
        <v>8400</v>
      </c>
      <c r="D14" s="40">
        <f>FanduelExcel!L15</f>
        <v>0</v>
      </c>
    </row>
    <row r="15" spans="1:4" x14ac:dyDescent="0.25">
      <c r="A15" s="40" t="str">
        <f>FanduelExcel!B16</f>
        <v>PG</v>
      </c>
      <c r="B15" s="40" t="str">
        <f>FanduelExcel!C16&amp;" "&amp;FanduelExcel!E16</f>
        <v>Eric Bledsoe</v>
      </c>
      <c r="C15" s="40">
        <f>FanduelExcel!H16</f>
        <v>8300</v>
      </c>
      <c r="D15" s="40">
        <f>FanduelExcel!L16</f>
        <v>0</v>
      </c>
    </row>
    <row r="16" spans="1:4" x14ac:dyDescent="0.25">
      <c r="A16" s="40" t="str">
        <f>FanduelExcel!B17</f>
        <v>SF</v>
      </c>
      <c r="B16" s="40" t="str">
        <f>FanduelExcel!C17&amp;" "&amp;FanduelExcel!E17</f>
        <v>Carmelo Anthony</v>
      </c>
      <c r="C16" s="40">
        <f>FanduelExcel!H17</f>
        <v>8100</v>
      </c>
      <c r="D16" s="40">
        <f>FanduelExcel!L17</f>
        <v>0</v>
      </c>
    </row>
    <row r="17" spans="1:4" x14ac:dyDescent="0.25">
      <c r="A17" s="40" t="str">
        <f>FanduelExcel!B18</f>
        <v>PG</v>
      </c>
      <c r="B17" s="40" t="str">
        <f>FanduelExcel!C18&amp;" "&amp;FanduelExcel!E18</f>
        <v>Goran Dragic</v>
      </c>
      <c r="C17" s="40">
        <f>FanduelExcel!H18</f>
        <v>8100</v>
      </c>
      <c r="D17" s="40">
        <f>FanduelExcel!L18</f>
        <v>0</v>
      </c>
    </row>
    <row r="18" spans="1:4" x14ac:dyDescent="0.25">
      <c r="A18" s="40" t="str">
        <f>FanduelExcel!B19</f>
        <v>SG</v>
      </c>
      <c r="B18" s="40" t="str">
        <f>FanduelExcel!C19&amp;" "&amp;FanduelExcel!E19</f>
        <v>Dwyane Wade</v>
      </c>
      <c r="C18" s="40">
        <f>FanduelExcel!H19</f>
        <v>8000</v>
      </c>
      <c r="D18" s="40" t="str">
        <f>FanduelExcel!L19</f>
        <v>GTD</v>
      </c>
    </row>
    <row r="19" spans="1:4" x14ac:dyDescent="0.25">
      <c r="A19" s="40" t="str">
        <f>FanduelExcel!B20</f>
        <v>PF</v>
      </c>
      <c r="B19" s="40" t="str">
        <f>FanduelExcel!C20&amp;" "&amp;FanduelExcel!E20</f>
        <v>Draymond Green</v>
      </c>
      <c r="C19" s="40">
        <f>FanduelExcel!H20</f>
        <v>8000</v>
      </c>
      <c r="D19" s="40">
        <f>FanduelExcel!L20</f>
        <v>0</v>
      </c>
    </row>
    <row r="20" spans="1:4" x14ac:dyDescent="0.25">
      <c r="A20" s="40" t="str">
        <f>FanduelExcel!B21</f>
        <v>PG</v>
      </c>
      <c r="B20" s="40" t="str">
        <f>FanduelExcel!C21&amp;" "&amp;FanduelExcel!E21</f>
        <v>Jrue Holiday</v>
      </c>
      <c r="C20" s="40">
        <f>FanduelExcel!H21</f>
        <v>7900</v>
      </c>
      <c r="D20" s="40">
        <f>FanduelExcel!L21</f>
        <v>0</v>
      </c>
    </row>
    <row r="21" spans="1:4" x14ac:dyDescent="0.25">
      <c r="A21" s="40" t="str">
        <f>FanduelExcel!B22</f>
        <v>PF</v>
      </c>
      <c r="B21" s="40" t="str">
        <f>FanduelExcel!C22&amp;" "&amp;FanduelExcel!E22</f>
        <v>Paul Millsap</v>
      </c>
      <c r="C21" s="40">
        <f>FanduelExcel!H22</f>
        <v>7800</v>
      </c>
      <c r="D21" s="40">
        <f>FanduelExcel!L22</f>
        <v>0</v>
      </c>
    </row>
    <row r="22" spans="1:4" x14ac:dyDescent="0.25">
      <c r="A22" s="40" t="str">
        <f>FanduelExcel!B23</f>
        <v>PG</v>
      </c>
      <c r="B22" s="40" t="str">
        <f>FanduelExcel!C23&amp;" "&amp;FanduelExcel!E23</f>
        <v>Jeff Teague</v>
      </c>
      <c r="C22" s="40">
        <f>FanduelExcel!H23</f>
        <v>7700</v>
      </c>
      <c r="D22" s="40">
        <f>FanduelExcel!L23</f>
        <v>0</v>
      </c>
    </row>
    <row r="23" spans="1:4" x14ac:dyDescent="0.25">
      <c r="A23" s="40" t="str">
        <f>FanduelExcel!B24</f>
        <v>SF</v>
      </c>
      <c r="B23" s="40" t="str">
        <f>FanduelExcel!C24&amp;" "&amp;FanduelExcel!E24</f>
        <v>Andrew Wiggins</v>
      </c>
      <c r="C23" s="40">
        <f>FanduelExcel!H24</f>
        <v>7600</v>
      </c>
      <c r="D23" s="40">
        <f>FanduelExcel!L24</f>
        <v>0</v>
      </c>
    </row>
    <row r="24" spans="1:4" x14ac:dyDescent="0.25">
      <c r="A24" s="40" t="str">
        <f>FanduelExcel!B25</f>
        <v>SG</v>
      </c>
      <c r="B24" s="40" t="str">
        <f>FanduelExcel!C25&amp;" "&amp;FanduelExcel!E25</f>
        <v>Bradley Beal</v>
      </c>
      <c r="C24" s="40">
        <f>FanduelExcel!H25</f>
        <v>7500</v>
      </c>
      <c r="D24" s="40">
        <f>FanduelExcel!L25</f>
        <v>0</v>
      </c>
    </row>
    <row r="25" spans="1:4" x14ac:dyDescent="0.25">
      <c r="A25" s="40" t="str">
        <f>FanduelExcel!B26</f>
        <v>PF</v>
      </c>
      <c r="B25" s="40" t="str">
        <f>FanduelExcel!C26&amp;" "&amp;FanduelExcel!E26</f>
        <v>LaMarcus Aldridge</v>
      </c>
      <c r="C25" s="40">
        <f>FanduelExcel!H26</f>
        <v>7500</v>
      </c>
      <c r="D25" s="40">
        <f>FanduelExcel!L26</f>
        <v>0</v>
      </c>
    </row>
    <row r="26" spans="1:4" x14ac:dyDescent="0.25">
      <c r="A26" s="40" t="str">
        <f>FanduelExcel!B27</f>
        <v>PG</v>
      </c>
      <c r="B26" s="40" t="str">
        <f>FanduelExcel!C27&amp;" "&amp;FanduelExcel!E27</f>
        <v>Mike Conley</v>
      </c>
      <c r="C26" s="40">
        <f>FanduelExcel!H27</f>
        <v>7400</v>
      </c>
      <c r="D26" s="40">
        <f>FanduelExcel!L27</f>
        <v>0</v>
      </c>
    </row>
    <row r="27" spans="1:4" x14ac:dyDescent="0.25">
      <c r="A27" s="40" t="str">
        <f>FanduelExcel!B28</f>
        <v>C</v>
      </c>
      <c r="B27" s="40" t="str">
        <f>FanduelExcel!C28&amp;" "&amp;FanduelExcel!E28</f>
        <v>Brook Lopez</v>
      </c>
      <c r="C27" s="40">
        <f>FanduelExcel!H28</f>
        <v>7200</v>
      </c>
      <c r="D27" s="40">
        <f>FanduelExcel!L28</f>
        <v>0</v>
      </c>
    </row>
    <row r="28" spans="1:4" x14ac:dyDescent="0.25">
      <c r="A28" s="40" t="str">
        <f>FanduelExcel!B29</f>
        <v>SG</v>
      </c>
      <c r="B28" s="40" t="str">
        <f>FanduelExcel!C29&amp;" "&amp;FanduelExcel!E29</f>
        <v>Dion Waiters</v>
      </c>
      <c r="C28" s="40">
        <f>FanduelExcel!H29</f>
        <v>7100</v>
      </c>
      <c r="D28" s="40" t="str">
        <f>FanduelExcel!L29</f>
        <v>GTD</v>
      </c>
    </row>
    <row r="29" spans="1:4" x14ac:dyDescent="0.25">
      <c r="A29" s="40" t="str">
        <f>FanduelExcel!B30</f>
        <v>C</v>
      </c>
      <c r="B29" s="40" t="str">
        <f>FanduelExcel!C30&amp;" "&amp;FanduelExcel!E30</f>
        <v>Dwight Howard</v>
      </c>
      <c r="C29" s="40">
        <f>FanduelExcel!H30</f>
        <v>7000</v>
      </c>
      <c r="D29" s="40">
        <f>FanduelExcel!L30</f>
        <v>0</v>
      </c>
    </row>
    <row r="30" spans="1:4" x14ac:dyDescent="0.25">
      <c r="A30" s="40" t="str">
        <f>FanduelExcel!B31</f>
        <v>C</v>
      </c>
      <c r="B30" s="40" t="str">
        <f>FanduelExcel!C31&amp;" "&amp;FanduelExcel!E31</f>
        <v>Marcin Gortat</v>
      </c>
      <c r="C30" s="40">
        <f>FanduelExcel!H31</f>
        <v>7000</v>
      </c>
      <c r="D30" s="40">
        <f>FanduelExcel!L31</f>
        <v>0</v>
      </c>
    </row>
    <row r="31" spans="1:4" x14ac:dyDescent="0.25">
      <c r="A31" s="40" t="str">
        <f>FanduelExcel!B32</f>
        <v>PF</v>
      </c>
      <c r="B31" s="40" t="str">
        <f>FanduelExcel!C32&amp;" "&amp;FanduelExcel!E32</f>
        <v>Markieff Morris</v>
      </c>
      <c r="C31" s="40">
        <f>FanduelExcel!H32</f>
        <v>6900</v>
      </c>
      <c r="D31" s="40" t="str">
        <f>FanduelExcel!L32</f>
        <v>GTD</v>
      </c>
    </row>
    <row r="32" spans="1:4" x14ac:dyDescent="0.25">
      <c r="A32" s="40" t="str">
        <f>FanduelExcel!B33</f>
        <v>SF</v>
      </c>
      <c r="B32" s="40" t="str">
        <f>FanduelExcel!C33&amp;" "&amp;FanduelExcel!E33</f>
        <v>Danilo Gallinari</v>
      </c>
      <c r="C32" s="40">
        <f>FanduelExcel!H33</f>
        <v>6900</v>
      </c>
      <c r="D32" s="40" t="str">
        <f>FanduelExcel!L33</f>
        <v>O</v>
      </c>
    </row>
    <row r="33" spans="1:4" x14ac:dyDescent="0.25">
      <c r="A33" s="40" t="str">
        <f>FanduelExcel!B34</f>
        <v>SG</v>
      </c>
      <c r="B33" s="40" t="str">
        <f>FanduelExcel!C34&amp;" "&amp;FanduelExcel!E34</f>
        <v>Devin Booker</v>
      </c>
      <c r="C33" s="40">
        <f>FanduelExcel!H34</f>
        <v>6800</v>
      </c>
      <c r="D33" s="40">
        <f>FanduelExcel!L34</f>
        <v>0</v>
      </c>
    </row>
    <row r="34" spans="1:4" x14ac:dyDescent="0.25">
      <c r="A34" s="40" t="str">
        <f>FanduelExcel!B35</f>
        <v>PF</v>
      </c>
      <c r="B34" s="40" t="str">
        <f>FanduelExcel!C35&amp;" "&amp;FanduelExcel!E35</f>
        <v>Kristaps Porzingis</v>
      </c>
      <c r="C34" s="40">
        <f>FanduelExcel!H35</f>
        <v>6800</v>
      </c>
      <c r="D34" s="40">
        <f>FanduelExcel!L35</f>
        <v>0</v>
      </c>
    </row>
    <row r="35" spans="1:4" x14ac:dyDescent="0.25">
      <c r="A35" s="40" t="str">
        <f>FanduelExcel!B36</f>
        <v>SG</v>
      </c>
      <c r="B35" s="40" t="str">
        <f>FanduelExcel!C36&amp;" "&amp;FanduelExcel!E36</f>
        <v>Klay Thompson</v>
      </c>
      <c r="C35" s="40">
        <f>FanduelExcel!H36</f>
        <v>6800</v>
      </c>
      <c r="D35" s="40">
        <f>FanduelExcel!L36</f>
        <v>0</v>
      </c>
    </row>
    <row r="36" spans="1:4" x14ac:dyDescent="0.25">
      <c r="A36" s="40" t="str">
        <f>FanduelExcel!B37</f>
        <v>SF</v>
      </c>
      <c r="B36" s="40" t="str">
        <f>FanduelExcel!C37&amp;" "&amp;FanduelExcel!E37</f>
        <v>Otto Porter</v>
      </c>
      <c r="C36" s="40">
        <f>FanduelExcel!H37</f>
        <v>6700</v>
      </c>
      <c r="D36" s="40">
        <f>FanduelExcel!L37</f>
        <v>0</v>
      </c>
    </row>
    <row r="37" spans="1:4" x14ac:dyDescent="0.25">
      <c r="A37" s="40" t="str">
        <f>FanduelExcel!B38</f>
        <v>SF</v>
      </c>
      <c r="B37" s="40" t="str">
        <f>FanduelExcel!C38&amp;" "&amp;FanduelExcel!E38</f>
        <v>Wilson Chandler</v>
      </c>
      <c r="C37" s="40">
        <f>FanduelExcel!H38</f>
        <v>6700</v>
      </c>
      <c r="D37" s="40">
        <f>FanduelExcel!L38</f>
        <v>0</v>
      </c>
    </row>
    <row r="38" spans="1:4" x14ac:dyDescent="0.25">
      <c r="A38" s="40" t="str">
        <f>FanduelExcel!B39</f>
        <v>PG</v>
      </c>
      <c r="B38" s="40" t="str">
        <f>FanduelExcel!C39&amp;" "&amp;FanduelExcel!E39</f>
        <v>Ricky Rubio</v>
      </c>
      <c r="C38" s="40">
        <f>FanduelExcel!H39</f>
        <v>6500</v>
      </c>
      <c r="D38" s="40">
        <f>FanduelExcel!L39</f>
        <v>0</v>
      </c>
    </row>
    <row r="39" spans="1:4" x14ac:dyDescent="0.25">
      <c r="A39" s="40" t="str">
        <f>FanduelExcel!B40</f>
        <v>PG</v>
      </c>
      <c r="B39" s="40" t="str">
        <f>FanduelExcel!C40&amp;" "&amp;FanduelExcel!E40</f>
        <v>Dennis Schroder</v>
      </c>
      <c r="C39" s="40">
        <f>FanduelExcel!H40</f>
        <v>6500</v>
      </c>
      <c r="D39" s="40">
        <f>FanduelExcel!L40</f>
        <v>0</v>
      </c>
    </row>
    <row r="40" spans="1:4" x14ac:dyDescent="0.25">
      <c r="A40" s="40" t="str">
        <f>FanduelExcel!B41</f>
        <v>PG</v>
      </c>
      <c r="B40" s="40" t="str">
        <f>FanduelExcel!C41&amp;" "&amp;FanduelExcel!E41</f>
        <v>Jeremy Lin</v>
      </c>
      <c r="C40" s="40">
        <f>FanduelExcel!H41</f>
        <v>6400</v>
      </c>
      <c r="D40" s="40" t="str">
        <f>FanduelExcel!L41</f>
        <v>O</v>
      </c>
    </row>
    <row r="41" spans="1:4" x14ac:dyDescent="0.25">
      <c r="A41" s="40" t="str">
        <f>FanduelExcel!B42</f>
        <v>C</v>
      </c>
      <c r="B41" s="40" t="str">
        <f>FanduelExcel!C42&amp;" "&amp;FanduelExcel!E42</f>
        <v>Myles Turner</v>
      </c>
      <c r="C41" s="40">
        <f>FanduelExcel!H42</f>
        <v>6400</v>
      </c>
      <c r="D41" s="40">
        <f>FanduelExcel!L42</f>
        <v>0</v>
      </c>
    </row>
    <row r="42" spans="1:4" x14ac:dyDescent="0.25">
      <c r="A42" s="40" t="str">
        <f>FanduelExcel!B43</f>
        <v>PF</v>
      </c>
      <c r="B42" s="40" t="str">
        <f>FanduelExcel!C43&amp;" "&amp;FanduelExcel!E43</f>
        <v>Zach Randolph</v>
      </c>
      <c r="C42" s="40">
        <f>FanduelExcel!H43</f>
        <v>6300</v>
      </c>
      <c r="D42" s="40" t="str">
        <f>FanduelExcel!L43</f>
        <v>GTD</v>
      </c>
    </row>
    <row r="43" spans="1:4" x14ac:dyDescent="0.25">
      <c r="A43" s="40" t="str">
        <f>FanduelExcel!B44</f>
        <v>PG</v>
      </c>
      <c r="B43" s="40" t="str">
        <f>FanduelExcel!C44&amp;" "&amp;FanduelExcel!E44</f>
        <v>Derrick Rose</v>
      </c>
      <c r="C43" s="40">
        <f>FanduelExcel!H44</f>
        <v>6200</v>
      </c>
      <c r="D43" s="40">
        <f>FanduelExcel!L44</f>
        <v>0</v>
      </c>
    </row>
    <row r="44" spans="1:4" x14ac:dyDescent="0.25">
      <c r="A44" s="40" t="str">
        <f>FanduelExcel!B45</f>
        <v>C</v>
      </c>
      <c r="B44" s="40" t="str">
        <f>FanduelExcel!C45&amp;" "&amp;FanduelExcel!E45</f>
        <v>Pau Gasol</v>
      </c>
      <c r="C44" s="40">
        <f>FanduelExcel!H45</f>
        <v>6200</v>
      </c>
      <c r="D44" s="40" t="str">
        <f>FanduelExcel!L45</f>
        <v>O</v>
      </c>
    </row>
    <row r="45" spans="1:4" x14ac:dyDescent="0.25">
      <c r="A45" s="40" t="str">
        <f>FanduelExcel!B46</f>
        <v>SG</v>
      </c>
      <c r="B45" s="40" t="str">
        <f>FanduelExcel!C46&amp;" "&amp;FanduelExcel!E46</f>
        <v>Lou Williams</v>
      </c>
      <c r="C45" s="40">
        <f>FanduelExcel!H46</f>
        <v>6200</v>
      </c>
      <c r="D45" s="40">
        <f>FanduelExcel!L46</f>
        <v>0</v>
      </c>
    </row>
    <row r="46" spans="1:4" x14ac:dyDescent="0.25">
      <c r="A46" s="40" t="str">
        <f>FanduelExcel!B47</f>
        <v>PF</v>
      </c>
      <c r="B46" s="40" t="str">
        <f>FanduelExcel!C47&amp;" "&amp;FanduelExcel!E47</f>
        <v>Kenneth Faried</v>
      </c>
      <c r="C46" s="40">
        <f>FanduelExcel!H47</f>
        <v>6100</v>
      </c>
      <c r="D46" s="40" t="str">
        <f>FanduelExcel!L47</f>
        <v>O</v>
      </c>
    </row>
    <row r="47" spans="1:4" x14ac:dyDescent="0.25">
      <c r="A47" s="40" t="str">
        <f>FanduelExcel!B48</f>
        <v>PF</v>
      </c>
      <c r="B47" s="40" t="str">
        <f>FanduelExcel!C48&amp;" "&amp;FanduelExcel!E48</f>
        <v>James Johnson</v>
      </c>
      <c r="C47" s="40">
        <f>FanduelExcel!H48</f>
        <v>6000</v>
      </c>
      <c r="D47" s="40">
        <f>FanduelExcel!L48</f>
        <v>0</v>
      </c>
    </row>
    <row r="48" spans="1:4" x14ac:dyDescent="0.25">
      <c r="A48" s="40" t="str">
        <f>FanduelExcel!B49</f>
        <v>SG</v>
      </c>
      <c r="B48" s="40" t="str">
        <f>FanduelExcel!C49&amp;" "&amp;FanduelExcel!E49</f>
        <v>Zach LaVine</v>
      </c>
      <c r="C48" s="40">
        <f>FanduelExcel!H49</f>
        <v>6000</v>
      </c>
      <c r="D48" s="40" t="str">
        <f>FanduelExcel!L49</f>
        <v>O</v>
      </c>
    </row>
    <row r="49" spans="1:4" x14ac:dyDescent="0.25">
      <c r="A49" s="40" t="str">
        <f>FanduelExcel!B50</f>
        <v>C</v>
      </c>
      <c r="B49" s="40" t="str">
        <f>FanduelExcel!C50&amp;" "&amp;FanduelExcel!E50</f>
        <v>Guillermo Hernangomez</v>
      </c>
      <c r="C49" s="40">
        <f>FanduelExcel!H50</f>
        <v>5900</v>
      </c>
      <c r="D49" s="40">
        <f>FanduelExcel!L50</f>
        <v>0</v>
      </c>
    </row>
    <row r="50" spans="1:4" x14ac:dyDescent="0.25">
      <c r="A50" s="40" t="str">
        <f>FanduelExcel!B51</f>
        <v>PG</v>
      </c>
      <c r="B50" s="40" t="str">
        <f>FanduelExcel!C51&amp;" "&amp;FanduelExcel!E51</f>
        <v>D'Angelo Russell</v>
      </c>
      <c r="C50" s="40">
        <f>FanduelExcel!H51</f>
        <v>5900</v>
      </c>
      <c r="D50" s="40">
        <f>FanduelExcel!L51</f>
        <v>0</v>
      </c>
    </row>
    <row r="51" spans="1:4" x14ac:dyDescent="0.25">
      <c r="A51" s="40" t="str">
        <f>FanduelExcel!B52</f>
        <v>C</v>
      </c>
      <c r="B51" s="40" t="str">
        <f>FanduelExcel!C52&amp;" "&amp;FanduelExcel!E52</f>
        <v>Greg Monroe</v>
      </c>
      <c r="C51" s="40">
        <f>FanduelExcel!H52</f>
        <v>5800</v>
      </c>
      <c r="D51" s="40">
        <f>FanduelExcel!L52</f>
        <v>0</v>
      </c>
    </row>
    <row r="52" spans="1:4" x14ac:dyDescent="0.25">
      <c r="A52" s="40" t="str">
        <f>FanduelExcel!B53</f>
        <v>SF</v>
      </c>
      <c r="B52" s="40" t="str">
        <f>FanduelExcel!C53&amp;" "&amp;FanduelExcel!E53</f>
        <v>Marcus Morris</v>
      </c>
      <c r="C52" s="40">
        <f>FanduelExcel!H53</f>
        <v>5800</v>
      </c>
      <c r="D52" s="40">
        <f>FanduelExcel!L53</f>
        <v>0</v>
      </c>
    </row>
    <row r="53" spans="1:4" x14ac:dyDescent="0.25">
      <c r="A53" s="40" t="str">
        <f>FanduelExcel!B54</f>
        <v>SG</v>
      </c>
      <c r="B53" s="40" t="str">
        <f>FanduelExcel!C54&amp;" "&amp;FanduelExcel!E54</f>
        <v>Will Barton</v>
      </c>
      <c r="C53" s="40">
        <f>FanduelExcel!H54</f>
        <v>5800</v>
      </c>
      <c r="D53" s="40">
        <f>FanduelExcel!L54</f>
        <v>0</v>
      </c>
    </row>
    <row r="54" spans="1:4" x14ac:dyDescent="0.25">
      <c r="A54" s="40" t="str">
        <f>FanduelExcel!B55</f>
        <v>PF</v>
      </c>
      <c r="B54" s="40" t="str">
        <f>FanduelExcel!C55&amp;" "&amp;FanduelExcel!E55</f>
        <v>Julius Randle</v>
      </c>
      <c r="C54" s="40">
        <f>FanduelExcel!H55</f>
        <v>5700</v>
      </c>
      <c r="D54" s="40">
        <f>FanduelExcel!L55</f>
        <v>0</v>
      </c>
    </row>
    <row r="55" spans="1:4" x14ac:dyDescent="0.25">
      <c r="A55" s="40" t="str">
        <f>FanduelExcel!B56</f>
        <v>PG</v>
      </c>
      <c r="B55" s="40" t="str">
        <f>FanduelExcel!C56&amp;" "&amp;FanduelExcel!E56</f>
        <v>Reggie Jackson</v>
      </c>
      <c r="C55" s="40">
        <f>FanduelExcel!H56</f>
        <v>5700</v>
      </c>
      <c r="D55" s="40">
        <f>FanduelExcel!L56</f>
        <v>0</v>
      </c>
    </row>
    <row r="56" spans="1:4" x14ac:dyDescent="0.25">
      <c r="A56" s="40" t="str">
        <f>FanduelExcel!B57</f>
        <v>PF</v>
      </c>
      <c r="B56" s="40" t="str">
        <f>FanduelExcel!C57&amp;" "&amp;FanduelExcel!E57</f>
        <v>Thaddeus Young</v>
      </c>
      <c r="C56" s="40">
        <f>FanduelExcel!H57</f>
        <v>5700</v>
      </c>
      <c r="D56" s="40" t="str">
        <f>FanduelExcel!L57</f>
        <v>GTD</v>
      </c>
    </row>
    <row r="57" spans="1:4" x14ac:dyDescent="0.25">
      <c r="A57" s="40" t="str">
        <f>FanduelExcel!B58</f>
        <v>PG</v>
      </c>
      <c r="B57" s="40" t="str">
        <f>FanduelExcel!C58&amp;" "&amp;FanduelExcel!E58</f>
        <v>Tyler Johnson</v>
      </c>
      <c r="C57" s="40">
        <f>FanduelExcel!H58</f>
        <v>5600</v>
      </c>
      <c r="D57" s="40">
        <f>FanduelExcel!L58</f>
        <v>0</v>
      </c>
    </row>
    <row r="58" spans="1:4" x14ac:dyDescent="0.25">
      <c r="A58" s="40" t="str">
        <f>FanduelExcel!B59</f>
        <v>SG</v>
      </c>
      <c r="B58" s="40" t="str">
        <f>FanduelExcel!C59&amp;" "&amp;FanduelExcel!E59</f>
        <v>Tim Hardaway Jr.</v>
      </c>
      <c r="C58" s="40">
        <f>FanduelExcel!H59</f>
        <v>5600</v>
      </c>
      <c r="D58" s="40">
        <f>FanduelExcel!L59</f>
        <v>0</v>
      </c>
    </row>
    <row r="59" spans="1:4" x14ac:dyDescent="0.25">
      <c r="A59" s="40" t="str">
        <f>FanduelExcel!B60</f>
        <v>PF</v>
      </c>
      <c r="B59" s="40" t="str">
        <f>FanduelExcel!C60&amp;" "&amp;FanduelExcel!E60</f>
        <v>Tobias Harris</v>
      </c>
      <c r="C59" s="40">
        <f>FanduelExcel!H60</f>
        <v>5500</v>
      </c>
      <c r="D59" s="40">
        <f>FanduelExcel!L60</f>
        <v>0</v>
      </c>
    </row>
    <row r="60" spans="1:4" x14ac:dyDescent="0.25">
      <c r="A60" s="40" t="str">
        <f>FanduelExcel!B61</f>
        <v>C</v>
      </c>
      <c r="B60" s="40" t="str">
        <f>FanduelExcel!C61&amp;" "&amp;FanduelExcel!E61</f>
        <v>Tyson Chandler</v>
      </c>
      <c r="C60" s="40">
        <f>FanduelExcel!H61</f>
        <v>5500</v>
      </c>
      <c r="D60" s="40">
        <f>FanduelExcel!L61</f>
        <v>0</v>
      </c>
    </row>
    <row r="61" spans="1:4" x14ac:dyDescent="0.25">
      <c r="A61" s="40" t="str">
        <f>FanduelExcel!B62</f>
        <v>PF</v>
      </c>
      <c r="B61" s="40" t="str">
        <f>FanduelExcel!C62&amp;" "&amp;FanduelExcel!E62</f>
        <v>Terrence Jones</v>
      </c>
      <c r="C61" s="40">
        <f>FanduelExcel!H62</f>
        <v>5500</v>
      </c>
      <c r="D61" s="40">
        <f>FanduelExcel!L62</f>
        <v>0</v>
      </c>
    </row>
    <row r="62" spans="1:4" x14ac:dyDescent="0.25">
      <c r="A62" s="40" t="str">
        <f>FanduelExcel!B63</f>
        <v>PF</v>
      </c>
      <c r="B62" s="40" t="str">
        <f>FanduelExcel!C63&amp;" "&amp;FanduelExcel!E63</f>
        <v>Gorgui Dieng</v>
      </c>
      <c r="C62" s="40">
        <f>FanduelExcel!H63</f>
        <v>5500</v>
      </c>
      <c r="D62" s="40">
        <f>FanduelExcel!L63</f>
        <v>0</v>
      </c>
    </row>
    <row r="63" spans="1:4" x14ac:dyDescent="0.25">
      <c r="A63" s="40" t="str">
        <f>FanduelExcel!B64</f>
        <v>PF</v>
      </c>
      <c r="B63" s="40" t="str">
        <f>FanduelExcel!C64&amp;" "&amp;FanduelExcel!E64</f>
        <v>Trevor Booker</v>
      </c>
      <c r="C63" s="40">
        <f>FanduelExcel!H64</f>
        <v>5300</v>
      </c>
      <c r="D63" s="40">
        <f>FanduelExcel!L64</f>
        <v>0</v>
      </c>
    </row>
    <row r="64" spans="1:4" x14ac:dyDescent="0.25">
      <c r="A64" s="40" t="str">
        <f>FanduelExcel!B65</f>
        <v>SG</v>
      </c>
      <c r="B64" s="40" t="str">
        <f>FanduelExcel!C65&amp;" "&amp;FanduelExcel!E65</f>
        <v>Josh Richardson</v>
      </c>
      <c r="C64" s="40">
        <f>FanduelExcel!H65</f>
        <v>5300</v>
      </c>
      <c r="D64" s="40" t="str">
        <f>FanduelExcel!L65</f>
        <v>GTD</v>
      </c>
    </row>
    <row r="65" spans="1:4" x14ac:dyDescent="0.25">
      <c r="A65" s="40" t="str">
        <f>FanduelExcel!B66</f>
        <v>SG</v>
      </c>
      <c r="B65" s="40" t="str">
        <f>FanduelExcel!C66&amp;" "&amp;FanduelExcel!E66</f>
        <v>Kentavious Caldwell-Pope</v>
      </c>
      <c r="C65" s="40">
        <f>FanduelExcel!H66</f>
        <v>5200</v>
      </c>
      <c r="D65" s="40">
        <f>FanduelExcel!L66</f>
        <v>0</v>
      </c>
    </row>
    <row r="66" spans="1:4" x14ac:dyDescent="0.25">
      <c r="A66" s="40" t="str">
        <f>FanduelExcel!B67</f>
        <v>PG</v>
      </c>
      <c r="B66" s="40" t="str">
        <f>FanduelExcel!C67&amp;" "&amp;FanduelExcel!E67</f>
        <v>Brandon Jennings</v>
      </c>
      <c r="C66" s="40">
        <f>FanduelExcel!H67</f>
        <v>5200</v>
      </c>
      <c r="D66" s="40">
        <f>FanduelExcel!L67</f>
        <v>0</v>
      </c>
    </row>
    <row r="67" spans="1:4" x14ac:dyDescent="0.25">
      <c r="A67" s="40" t="str">
        <f>FanduelExcel!B68</f>
        <v>PG</v>
      </c>
      <c r="B67" s="40" t="str">
        <f>FanduelExcel!C68&amp;" "&amp;FanduelExcel!E68</f>
        <v>Darren Collison</v>
      </c>
      <c r="C67" s="40">
        <f>FanduelExcel!H68</f>
        <v>5200</v>
      </c>
      <c r="D67" s="40">
        <f>FanduelExcel!L68</f>
        <v>0</v>
      </c>
    </row>
    <row r="68" spans="1:4" x14ac:dyDescent="0.25">
      <c r="A68" s="40" t="str">
        <f>FanduelExcel!B69</f>
        <v>PF</v>
      </c>
      <c r="B68" s="40" t="str">
        <f>FanduelExcel!C69&amp;" "&amp;FanduelExcel!E69</f>
        <v>David Lee</v>
      </c>
      <c r="C68" s="40">
        <f>FanduelExcel!H69</f>
        <v>5100</v>
      </c>
      <c r="D68" s="40">
        <f>FanduelExcel!L69</f>
        <v>0</v>
      </c>
    </row>
    <row r="69" spans="1:4" x14ac:dyDescent="0.25">
      <c r="A69" s="40" t="str">
        <f>FanduelExcel!B70</f>
        <v>SF</v>
      </c>
      <c r="B69" s="40" t="str">
        <f>FanduelExcel!C70&amp;" "&amp;FanduelExcel!E70</f>
        <v>Matt Barnes</v>
      </c>
      <c r="C69" s="40">
        <f>FanduelExcel!H70</f>
        <v>5100</v>
      </c>
      <c r="D69" s="40">
        <f>FanduelExcel!L70</f>
        <v>0</v>
      </c>
    </row>
    <row r="70" spans="1:4" x14ac:dyDescent="0.25">
      <c r="A70" s="40" t="str">
        <f>FanduelExcel!B71</f>
        <v>SG</v>
      </c>
      <c r="B70" s="40" t="str">
        <f>FanduelExcel!C71&amp;" "&amp;FanduelExcel!E71</f>
        <v>Gary Harris</v>
      </c>
      <c r="C70" s="40">
        <f>FanduelExcel!H71</f>
        <v>5100</v>
      </c>
      <c r="D70" s="40">
        <f>FanduelExcel!L71</f>
        <v>0</v>
      </c>
    </row>
    <row r="71" spans="1:4" x14ac:dyDescent="0.25">
      <c r="A71" s="40" t="str">
        <f>FanduelExcel!B72</f>
        <v>PG</v>
      </c>
      <c r="B71" s="40" t="str">
        <f>FanduelExcel!C72&amp;" "&amp;FanduelExcel!E72</f>
        <v>Malcolm Brogdon</v>
      </c>
      <c r="C71" s="40">
        <f>FanduelExcel!H72</f>
        <v>5100</v>
      </c>
      <c r="D71" s="40">
        <f>FanduelExcel!L72</f>
        <v>0</v>
      </c>
    </row>
    <row r="72" spans="1:4" x14ac:dyDescent="0.25">
      <c r="A72" s="40" t="str">
        <f>FanduelExcel!B73</f>
        <v>C</v>
      </c>
      <c r="B72" s="40" t="str">
        <f>FanduelExcel!C73&amp;" "&amp;FanduelExcel!E73</f>
        <v>Robin Lopez</v>
      </c>
      <c r="C72" s="40">
        <f>FanduelExcel!H73</f>
        <v>5000</v>
      </c>
      <c r="D72" s="40">
        <f>FanduelExcel!L73</f>
        <v>0</v>
      </c>
    </row>
    <row r="73" spans="1:4" x14ac:dyDescent="0.25">
      <c r="A73" s="40" t="str">
        <f>FanduelExcel!B74</f>
        <v>PG</v>
      </c>
      <c r="B73" s="40" t="str">
        <f>FanduelExcel!C74&amp;" "&amp;FanduelExcel!E74</f>
        <v>Rajon Rondo</v>
      </c>
      <c r="C73" s="40">
        <f>FanduelExcel!H74</f>
        <v>5000</v>
      </c>
      <c r="D73" s="40">
        <f>FanduelExcel!L74</f>
        <v>0</v>
      </c>
    </row>
    <row r="74" spans="1:4" x14ac:dyDescent="0.25">
      <c r="A74" s="40" t="str">
        <f>FanduelExcel!B75</f>
        <v>PF</v>
      </c>
      <c r="B74" s="40" t="str">
        <f>FanduelExcel!C75&amp;" "&amp;FanduelExcel!E75</f>
        <v>Taj Gibson</v>
      </c>
      <c r="C74" s="40">
        <f>FanduelExcel!H75</f>
        <v>5000</v>
      </c>
      <c r="D74" s="40">
        <f>FanduelExcel!L75</f>
        <v>0</v>
      </c>
    </row>
    <row r="75" spans="1:4" x14ac:dyDescent="0.25">
      <c r="A75" s="40" t="str">
        <f>FanduelExcel!B76</f>
        <v>PG</v>
      </c>
      <c r="B75" s="40" t="str">
        <f>FanduelExcel!C76&amp;" "&amp;FanduelExcel!E76</f>
        <v>Emmanuel Mudiay</v>
      </c>
      <c r="C75" s="40">
        <f>FanduelExcel!H76</f>
        <v>4900</v>
      </c>
      <c r="D75" s="40" t="str">
        <f>FanduelExcel!L76</f>
        <v>O</v>
      </c>
    </row>
    <row r="76" spans="1:4" x14ac:dyDescent="0.25">
      <c r="A76" s="40" t="str">
        <f>FanduelExcel!B77</f>
        <v>PF</v>
      </c>
      <c r="B76" s="40" t="str">
        <f>FanduelExcel!C77&amp;" "&amp;FanduelExcel!E77</f>
        <v>Jon Leuer</v>
      </c>
      <c r="C76" s="40">
        <f>FanduelExcel!H77</f>
        <v>4900</v>
      </c>
      <c r="D76" s="40">
        <f>FanduelExcel!L77</f>
        <v>0</v>
      </c>
    </row>
    <row r="77" spans="1:4" x14ac:dyDescent="0.25">
      <c r="A77" s="40" t="str">
        <f>FanduelExcel!B78</f>
        <v>SF</v>
      </c>
      <c r="B77" s="40" t="str">
        <f>FanduelExcel!C78&amp;" "&amp;FanduelExcel!E78</f>
        <v>Kent Bazemore</v>
      </c>
      <c r="C77" s="40">
        <f>FanduelExcel!H78</f>
        <v>4700</v>
      </c>
      <c r="D77" s="40">
        <f>FanduelExcel!L78</f>
        <v>0</v>
      </c>
    </row>
    <row r="78" spans="1:4" x14ac:dyDescent="0.25">
      <c r="A78" s="40" t="str">
        <f>FanduelExcel!B79</f>
        <v>PG</v>
      </c>
      <c r="B78" s="40" t="str">
        <f>FanduelExcel!C79&amp;" "&amp;FanduelExcel!E79</f>
        <v>Michael Carter-Williams</v>
      </c>
      <c r="C78" s="40">
        <f>FanduelExcel!H79</f>
        <v>4700</v>
      </c>
      <c r="D78" s="40">
        <f>FanduelExcel!L79</f>
        <v>0</v>
      </c>
    </row>
    <row r="79" spans="1:4" x14ac:dyDescent="0.25">
      <c r="A79" s="40" t="str">
        <f>FanduelExcel!B80</f>
        <v>SF</v>
      </c>
      <c r="B79" s="40" t="str">
        <f>FanduelExcel!C80&amp;" "&amp;FanduelExcel!E80</f>
        <v>P.J. Tucker</v>
      </c>
      <c r="C79" s="40">
        <f>FanduelExcel!H80</f>
        <v>4700</v>
      </c>
      <c r="D79" s="40">
        <f>FanduelExcel!L80</f>
        <v>0</v>
      </c>
    </row>
    <row r="80" spans="1:4" x14ac:dyDescent="0.25">
      <c r="A80" s="40" t="str">
        <f>FanduelExcel!B81</f>
        <v>C</v>
      </c>
      <c r="B80" s="40" t="str">
        <f>FanduelExcel!C81&amp;" "&amp;FanduelExcel!E81</f>
        <v>Spencer Hawes</v>
      </c>
      <c r="C80" s="40">
        <f>FanduelExcel!H81</f>
        <v>4700</v>
      </c>
      <c r="D80" s="40">
        <f>FanduelExcel!L81</f>
        <v>0</v>
      </c>
    </row>
    <row r="81" spans="1:4" x14ac:dyDescent="0.25">
      <c r="A81" s="40" t="str">
        <f>FanduelExcel!B82</f>
        <v>PF</v>
      </c>
      <c r="B81" s="40" t="str">
        <f>FanduelExcel!C82&amp;" "&amp;FanduelExcel!E82</f>
        <v>JaMychal Green</v>
      </c>
      <c r="C81" s="40">
        <f>FanduelExcel!H82</f>
        <v>4600</v>
      </c>
      <c r="D81" s="40">
        <f>FanduelExcel!L82</f>
        <v>0</v>
      </c>
    </row>
    <row r="82" spans="1:4" x14ac:dyDescent="0.25">
      <c r="A82" s="40" t="str">
        <f>FanduelExcel!B83</f>
        <v>PG</v>
      </c>
      <c r="B82" s="40" t="str">
        <f>FanduelExcel!C83&amp;" "&amp;FanduelExcel!E83</f>
        <v>Jordan Clarkson</v>
      </c>
      <c r="C82" s="40">
        <f>FanduelExcel!H83</f>
        <v>4600</v>
      </c>
      <c r="D82" s="40">
        <f>FanduelExcel!L83</f>
        <v>0</v>
      </c>
    </row>
    <row r="83" spans="1:4" x14ac:dyDescent="0.25">
      <c r="A83" s="40" t="str">
        <f>FanduelExcel!B84</f>
        <v>SF</v>
      </c>
      <c r="B83" s="40" t="str">
        <f>FanduelExcel!C84&amp;" "&amp;FanduelExcel!E84</f>
        <v>Bojan Bogdanovic</v>
      </c>
      <c r="C83" s="40">
        <f>FanduelExcel!H84</f>
        <v>4600</v>
      </c>
      <c r="D83" s="40">
        <f>FanduelExcel!L84</f>
        <v>0</v>
      </c>
    </row>
    <row r="84" spans="1:4" x14ac:dyDescent="0.25">
      <c r="A84" s="40" t="str">
        <f>FanduelExcel!B85</f>
        <v>PG</v>
      </c>
      <c r="B84" s="40" t="str">
        <f>FanduelExcel!C85&amp;" "&amp;FanduelExcel!E85</f>
        <v>Ty Lawson</v>
      </c>
      <c r="C84" s="40">
        <f>FanduelExcel!H85</f>
        <v>4600</v>
      </c>
      <c r="D84" s="40" t="str">
        <f>FanduelExcel!L85</f>
        <v>GTD</v>
      </c>
    </row>
    <row r="85" spans="1:4" x14ac:dyDescent="0.25">
      <c r="A85" s="40" t="str">
        <f>FanduelExcel!B86</f>
        <v>SF</v>
      </c>
      <c r="B85" s="40" t="str">
        <f>FanduelExcel!C86&amp;" "&amp;FanduelExcel!E86</f>
        <v>T.J. Warren</v>
      </c>
      <c r="C85" s="40">
        <f>FanduelExcel!H86</f>
        <v>4500</v>
      </c>
      <c r="D85" s="40">
        <f>FanduelExcel!L86</f>
        <v>0</v>
      </c>
    </row>
    <row r="86" spans="1:4" x14ac:dyDescent="0.25">
      <c r="A86" s="40" t="str">
        <f>FanduelExcel!B87</f>
        <v>SF</v>
      </c>
      <c r="B86" s="40" t="str">
        <f>FanduelExcel!C87&amp;" "&amp;FanduelExcel!E87</f>
        <v>Rondae Hollis-Jefferson</v>
      </c>
      <c r="C86" s="40">
        <f>FanduelExcel!H87</f>
        <v>4500</v>
      </c>
      <c r="D86" s="40">
        <f>FanduelExcel!L87</f>
        <v>0</v>
      </c>
    </row>
    <row r="87" spans="1:4" x14ac:dyDescent="0.25">
      <c r="A87" s="40" t="str">
        <f>FanduelExcel!B88</f>
        <v>SG</v>
      </c>
      <c r="B87" s="40" t="str">
        <f>FanduelExcel!C88&amp;" "&amp;FanduelExcel!E88</f>
        <v>Tony Allen</v>
      </c>
      <c r="C87" s="40">
        <f>FanduelExcel!H88</f>
        <v>4500</v>
      </c>
      <c r="D87" s="40">
        <f>FanduelExcel!L88</f>
        <v>0</v>
      </c>
    </row>
    <row r="88" spans="1:4" x14ac:dyDescent="0.25">
      <c r="A88" s="40" t="str">
        <f>FanduelExcel!B89</f>
        <v>SG</v>
      </c>
      <c r="B88" s="40" t="str">
        <f>FanduelExcel!C89&amp;" "&amp;FanduelExcel!E89</f>
        <v>Tyreke Evans</v>
      </c>
      <c r="C88" s="40">
        <f>FanduelExcel!H89</f>
        <v>4500</v>
      </c>
      <c r="D88" s="40" t="str">
        <f>FanduelExcel!L89</f>
        <v>GTD</v>
      </c>
    </row>
    <row r="89" spans="1:4" x14ac:dyDescent="0.25">
      <c r="A89" s="40" t="str">
        <f>FanduelExcel!B90</f>
        <v>PG</v>
      </c>
      <c r="B89" s="40" t="str">
        <f>FanduelExcel!C90&amp;" "&amp;FanduelExcel!E90</f>
        <v>Tony Parker</v>
      </c>
      <c r="C89" s="40">
        <f>FanduelExcel!H90</f>
        <v>4500</v>
      </c>
      <c r="D89" s="40">
        <f>FanduelExcel!L90</f>
        <v>0</v>
      </c>
    </row>
    <row r="90" spans="1:4" x14ac:dyDescent="0.25">
      <c r="A90" s="40" t="str">
        <f>FanduelExcel!B91</f>
        <v>C</v>
      </c>
      <c r="B90" s="40" t="str">
        <f>FanduelExcel!C91&amp;" "&amp;FanduelExcel!E91</f>
        <v>Zaza Pachulia</v>
      </c>
      <c r="C90" s="40">
        <f>FanduelExcel!H91</f>
        <v>4400</v>
      </c>
      <c r="D90" s="40" t="str">
        <f>FanduelExcel!L91</f>
        <v>O</v>
      </c>
    </row>
    <row r="91" spans="1:4" x14ac:dyDescent="0.25">
      <c r="A91" s="40" t="str">
        <f>FanduelExcel!B92</f>
        <v>SG</v>
      </c>
      <c r="B91" s="40" t="str">
        <f>FanduelExcel!C92&amp;" "&amp;FanduelExcel!E92</f>
        <v>Caris LeVert</v>
      </c>
      <c r="C91" s="40">
        <f>FanduelExcel!H92</f>
        <v>4400</v>
      </c>
      <c r="D91" s="40">
        <f>FanduelExcel!L92</f>
        <v>0</v>
      </c>
    </row>
    <row r="92" spans="1:4" x14ac:dyDescent="0.25">
      <c r="A92" s="40" t="str">
        <f>FanduelExcel!B93</f>
        <v>SF</v>
      </c>
      <c r="B92" s="40" t="str">
        <f>FanduelExcel!C93&amp;" "&amp;FanduelExcel!E93</f>
        <v>Michael Beasley</v>
      </c>
      <c r="C92" s="40">
        <f>FanduelExcel!H93</f>
        <v>4400</v>
      </c>
      <c r="D92" s="40">
        <f>FanduelExcel!L93</f>
        <v>0</v>
      </c>
    </row>
    <row r="93" spans="1:4" x14ac:dyDescent="0.25">
      <c r="A93" s="40" t="str">
        <f>FanduelExcel!B94</f>
        <v>SG</v>
      </c>
      <c r="B93" s="40" t="str">
        <f>FanduelExcel!C94&amp;" "&amp;FanduelExcel!E94</f>
        <v>Khris Middleton</v>
      </c>
      <c r="C93" s="40">
        <f>FanduelExcel!H94</f>
        <v>4400</v>
      </c>
      <c r="D93" s="40">
        <f>FanduelExcel!L94</f>
        <v>0</v>
      </c>
    </row>
    <row r="94" spans="1:4" x14ac:dyDescent="0.25">
      <c r="A94" s="40" t="str">
        <f>FanduelExcel!B95</f>
        <v>SG</v>
      </c>
      <c r="B94" s="40" t="str">
        <f>FanduelExcel!C95&amp;" "&amp;FanduelExcel!E95</f>
        <v>Courtney Lee</v>
      </c>
      <c r="C94" s="40">
        <f>FanduelExcel!H95</f>
        <v>4400</v>
      </c>
      <c r="D94" s="40">
        <f>FanduelExcel!L95</f>
        <v>0</v>
      </c>
    </row>
    <row r="95" spans="1:4" x14ac:dyDescent="0.25">
      <c r="A95" s="40" t="str">
        <f>FanduelExcel!B96</f>
        <v>PG</v>
      </c>
      <c r="B95" s="40" t="str">
        <f>FanduelExcel!C96&amp;" "&amp;FanduelExcel!E96</f>
        <v>Jameer Nelson</v>
      </c>
      <c r="C95" s="40">
        <f>FanduelExcel!H96</f>
        <v>4400</v>
      </c>
      <c r="D95" s="40">
        <f>FanduelExcel!L96</f>
        <v>0</v>
      </c>
    </row>
    <row r="96" spans="1:4" x14ac:dyDescent="0.25">
      <c r="A96" s="40" t="str">
        <f>FanduelExcel!B97</f>
        <v>SG</v>
      </c>
      <c r="B96" s="40" t="str">
        <f>FanduelExcel!C97&amp;" "&amp;FanduelExcel!E97</f>
        <v>Nick Young</v>
      </c>
      <c r="C96" s="40">
        <f>FanduelExcel!H97</f>
        <v>4300</v>
      </c>
      <c r="D96" s="40">
        <f>FanduelExcel!L97</f>
        <v>0</v>
      </c>
    </row>
    <row r="97" spans="1:4" x14ac:dyDescent="0.25">
      <c r="A97" s="40" t="str">
        <f>FanduelExcel!B98</f>
        <v>PF</v>
      </c>
      <c r="B97" s="40" t="str">
        <f>FanduelExcel!C98&amp;" "&amp;FanduelExcel!E98</f>
        <v>Darrell Arthur</v>
      </c>
      <c r="C97" s="40">
        <f>FanduelExcel!H98</f>
        <v>4300</v>
      </c>
      <c r="D97" s="40">
        <f>FanduelExcel!L98</f>
        <v>0</v>
      </c>
    </row>
    <row r="98" spans="1:4" x14ac:dyDescent="0.25">
      <c r="A98" s="40" t="str">
        <f>FanduelExcel!B99</f>
        <v>PF</v>
      </c>
      <c r="B98" s="40" t="str">
        <f>FanduelExcel!C99&amp;" "&amp;FanduelExcel!E99</f>
        <v>Larry Nance Jr.</v>
      </c>
      <c r="C98" s="40">
        <f>FanduelExcel!H99</f>
        <v>4200</v>
      </c>
      <c r="D98" s="40">
        <f>FanduelExcel!L99</f>
        <v>0</v>
      </c>
    </row>
    <row r="99" spans="1:4" x14ac:dyDescent="0.25">
      <c r="A99" s="40" t="str">
        <f>FanduelExcel!B100</f>
        <v>PG</v>
      </c>
      <c r="B99" s="40" t="str">
        <f>FanduelExcel!C100&amp;" "&amp;FanduelExcel!E100</f>
        <v>Matthew Dellavedova</v>
      </c>
      <c r="C99" s="40">
        <f>FanduelExcel!H100</f>
        <v>4200</v>
      </c>
      <c r="D99" s="40">
        <f>FanduelExcel!L100</f>
        <v>0</v>
      </c>
    </row>
    <row r="100" spans="1:4" x14ac:dyDescent="0.25">
      <c r="A100" s="40" t="str">
        <f>FanduelExcel!B101</f>
        <v>SF</v>
      </c>
      <c r="B100" s="40" t="str">
        <f>FanduelExcel!C101&amp;" "&amp;FanduelExcel!E101</f>
        <v>Shabazz Muhammad</v>
      </c>
      <c r="C100" s="40">
        <f>FanduelExcel!H101</f>
        <v>4200</v>
      </c>
      <c r="D100" s="40">
        <f>FanduelExcel!L101</f>
        <v>0</v>
      </c>
    </row>
    <row r="101" spans="1:4" x14ac:dyDescent="0.25">
      <c r="A101" s="40" t="str">
        <f>FanduelExcel!B102</f>
        <v>PG</v>
      </c>
      <c r="B101" s="40" t="str">
        <f>FanduelExcel!C102&amp;" "&amp;FanduelExcel!E102</f>
        <v>Shaun Livingston</v>
      </c>
      <c r="C101" s="40">
        <f>FanduelExcel!H102</f>
        <v>4200</v>
      </c>
      <c r="D101" s="40">
        <f>FanduelExcel!L102</f>
        <v>0</v>
      </c>
    </row>
    <row r="102" spans="1:4" x14ac:dyDescent="0.25">
      <c r="A102" s="40" t="str">
        <f>FanduelExcel!B103</f>
        <v>C</v>
      </c>
      <c r="B102" s="40" t="str">
        <f>FanduelExcel!C103&amp;" "&amp;FanduelExcel!E103</f>
        <v>Tarik Black</v>
      </c>
      <c r="C102" s="40">
        <f>FanduelExcel!H103</f>
        <v>4200</v>
      </c>
      <c r="D102" s="40">
        <f>FanduelExcel!L103</f>
        <v>0</v>
      </c>
    </row>
    <row r="103" spans="1:4" x14ac:dyDescent="0.25">
      <c r="A103" s="40" t="str">
        <f>FanduelExcel!B104</f>
        <v>SF</v>
      </c>
      <c r="B103" s="40" t="str">
        <f>FanduelExcel!C104&amp;" "&amp;FanduelExcel!E104</f>
        <v>Andre Iguodala</v>
      </c>
      <c r="C103" s="40">
        <f>FanduelExcel!H104</f>
        <v>4200</v>
      </c>
      <c r="D103" s="40">
        <f>FanduelExcel!L104</f>
        <v>0</v>
      </c>
    </row>
    <row r="104" spans="1:4" x14ac:dyDescent="0.25">
      <c r="A104" s="40" t="str">
        <f>FanduelExcel!B105</f>
        <v>C</v>
      </c>
      <c r="B104" s="40" t="str">
        <f>FanduelExcel!C105&amp;" "&amp;FanduelExcel!E105</f>
        <v>Kyle O'Quinn</v>
      </c>
      <c r="C104" s="40">
        <f>FanduelExcel!H105</f>
        <v>4200</v>
      </c>
      <c r="D104" s="40">
        <f>FanduelExcel!L105</f>
        <v>0</v>
      </c>
    </row>
    <row r="105" spans="1:4" x14ac:dyDescent="0.25">
      <c r="A105" s="40" t="str">
        <f>FanduelExcel!B106</f>
        <v>SF</v>
      </c>
      <c r="B105" s="40" t="str">
        <f>FanduelExcel!C106&amp;" "&amp;FanduelExcel!E106</f>
        <v>C.J. Miles</v>
      </c>
      <c r="C105" s="40">
        <f>FanduelExcel!H106</f>
        <v>4200</v>
      </c>
      <c r="D105" s="40">
        <f>FanduelExcel!L106</f>
        <v>0</v>
      </c>
    </row>
    <row r="106" spans="1:4" x14ac:dyDescent="0.25">
      <c r="A106" s="40" t="str">
        <f>FanduelExcel!B107</f>
        <v>SF</v>
      </c>
      <c r="B106" s="40" t="str">
        <f>FanduelExcel!C107&amp;" "&amp;FanduelExcel!E107</f>
        <v>Brandon Ingram</v>
      </c>
      <c r="C106" s="40">
        <f>FanduelExcel!H107</f>
        <v>4100</v>
      </c>
      <c r="D106" s="40">
        <f>FanduelExcel!L107</f>
        <v>0</v>
      </c>
    </row>
    <row r="107" spans="1:4" x14ac:dyDescent="0.25">
      <c r="A107" s="40" t="str">
        <f>FanduelExcel!B108</f>
        <v>SF</v>
      </c>
      <c r="B107" s="40" t="str">
        <f>FanduelExcel!C108&amp;" "&amp;FanduelExcel!E108</f>
        <v>Solomon Hill</v>
      </c>
      <c r="C107" s="40">
        <f>FanduelExcel!H108</f>
        <v>4100</v>
      </c>
      <c r="D107" s="40">
        <f>FanduelExcel!L108</f>
        <v>0</v>
      </c>
    </row>
    <row r="108" spans="1:4" x14ac:dyDescent="0.25">
      <c r="A108" s="40" t="str">
        <f>FanduelExcel!B109</f>
        <v>SF</v>
      </c>
      <c r="B108" s="40" t="str">
        <f>FanduelExcel!C109&amp;" "&amp;FanduelExcel!E109</f>
        <v>Mirza Teletovic</v>
      </c>
      <c r="C108" s="40">
        <f>FanduelExcel!H109</f>
        <v>4100</v>
      </c>
      <c r="D108" s="40">
        <f>FanduelExcel!L109</f>
        <v>0</v>
      </c>
    </row>
    <row r="109" spans="1:4" x14ac:dyDescent="0.25">
      <c r="A109" s="40" t="str">
        <f>FanduelExcel!B110</f>
        <v>PG</v>
      </c>
      <c r="B109" s="40" t="str">
        <f>FanduelExcel!C110&amp;" "&amp;FanduelExcel!E110</f>
        <v>Ish Smith</v>
      </c>
      <c r="C109" s="40">
        <f>FanduelExcel!H110</f>
        <v>4100</v>
      </c>
      <c r="D109" s="40">
        <f>FanduelExcel!L110</f>
        <v>0</v>
      </c>
    </row>
    <row r="110" spans="1:4" x14ac:dyDescent="0.25">
      <c r="A110" s="40" t="str">
        <f>FanduelExcel!B111</f>
        <v>PG</v>
      </c>
      <c r="B110" s="40" t="str">
        <f>FanduelExcel!C111&amp;" "&amp;FanduelExcel!E111</f>
        <v>Tyus Jones</v>
      </c>
      <c r="C110" s="40">
        <f>FanduelExcel!H111</f>
        <v>4100</v>
      </c>
      <c r="D110" s="40">
        <f>FanduelExcel!L111</f>
        <v>0</v>
      </c>
    </row>
    <row r="111" spans="1:4" x14ac:dyDescent="0.25">
      <c r="A111" s="40" t="str">
        <f>FanduelExcel!B112</f>
        <v>SG</v>
      </c>
      <c r="B111" s="40" t="str">
        <f>FanduelExcel!C112&amp;" "&amp;FanduelExcel!E112</f>
        <v>Garrett Temple</v>
      </c>
      <c r="C111" s="40">
        <f>FanduelExcel!H112</f>
        <v>4100</v>
      </c>
      <c r="D111" s="40" t="str">
        <f>FanduelExcel!L112</f>
        <v>O</v>
      </c>
    </row>
    <row r="112" spans="1:4" x14ac:dyDescent="0.25">
      <c r="A112" s="40" t="str">
        <f>FanduelExcel!B113</f>
        <v>PG</v>
      </c>
      <c r="B112" s="40" t="str">
        <f>FanduelExcel!C113&amp;" "&amp;FanduelExcel!E113</f>
        <v>Jamal Murray</v>
      </c>
      <c r="C112" s="40">
        <f>FanduelExcel!H113</f>
        <v>4000</v>
      </c>
      <c r="D112" s="40">
        <f>FanduelExcel!L113</f>
        <v>0</v>
      </c>
    </row>
    <row r="113" spans="1:4" x14ac:dyDescent="0.25">
      <c r="A113" s="40" t="str">
        <f>FanduelExcel!B114</f>
        <v>SF</v>
      </c>
      <c r="B113" s="40" t="str">
        <f>FanduelExcel!C114&amp;" "&amp;FanduelExcel!E114</f>
        <v>Tony Snell</v>
      </c>
      <c r="C113" s="40">
        <f>FanduelExcel!H114</f>
        <v>4000</v>
      </c>
      <c r="D113" s="40">
        <f>FanduelExcel!L114</f>
        <v>0</v>
      </c>
    </row>
    <row r="114" spans="1:4" x14ac:dyDescent="0.25">
      <c r="A114" s="40" t="str">
        <f>FanduelExcel!B115</f>
        <v>C</v>
      </c>
      <c r="B114" s="40" t="str">
        <f>FanduelExcel!C115&amp;" "&amp;FanduelExcel!E115</f>
        <v>Dewayne Dedmon</v>
      </c>
      <c r="C114" s="40">
        <f>FanduelExcel!H115</f>
        <v>4000</v>
      </c>
      <c r="D114" s="40">
        <f>FanduelExcel!L115</f>
        <v>0</v>
      </c>
    </row>
    <row r="115" spans="1:4" x14ac:dyDescent="0.25">
      <c r="A115" s="40" t="str">
        <f>FanduelExcel!B116</f>
        <v>SG</v>
      </c>
      <c r="B115" s="40" t="str">
        <f>FanduelExcel!C116&amp;" "&amp;FanduelExcel!E116</f>
        <v>Danny Green</v>
      </c>
      <c r="C115" s="40">
        <f>FanduelExcel!H116</f>
        <v>3900</v>
      </c>
      <c r="D115" s="40">
        <f>FanduelExcel!L116</f>
        <v>0</v>
      </c>
    </row>
    <row r="116" spans="1:4" x14ac:dyDescent="0.25">
      <c r="A116" s="40" t="str">
        <f>FanduelExcel!B117</f>
        <v>C</v>
      </c>
      <c r="B116" s="40" t="str">
        <f>FanduelExcel!C117&amp;" "&amp;FanduelExcel!E117</f>
        <v>John Henson</v>
      </c>
      <c r="C116" s="40">
        <f>FanduelExcel!H117</f>
        <v>3900</v>
      </c>
      <c r="D116" s="40">
        <f>FanduelExcel!L117</f>
        <v>0</v>
      </c>
    </row>
    <row r="117" spans="1:4" x14ac:dyDescent="0.25">
      <c r="A117" s="40" t="str">
        <f>FanduelExcel!B118</f>
        <v>SG</v>
      </c>
      <c r="B117" s="40" t="str">
        <f>FanduelExcel!C118&amp;" "&amp;FanduelExcel!E118</f>
        <v>Lance Stephenson</v>
      </c>
      <c r="C117" s="40">
        <f>FanduelExcel!H118</f>
        <v>3900</v>
      </c>
      <c r="D117" s="40">
        <f>FanduelExcel!L118</f>
        <v>0</v>
      </c>
    </row>
    <row r="118" spans="1:4" x14ac:dyDescent="0.25">
      <c r="A118" s="40" t="str">
        <f>FanduelExcel!B119</f>
        <v>PF</v>
      </c>
      <c r="B118" s="40" t="str">
        <f>FanduelExcel!C119&amp;" "&amp;FanduelExcel!E119</f>
        <v>Marquese Chriss</v>
      </c>
      <c r="C118" s="40">
        <f>FanduelExcel!H119</f>
        <v>3900</v>
      </c>
      <c r="D118" s="40">
        <f>FanduelExcel!L119</f>
        <v>0</v>
      </c>
    </row>
    <row r="119" spans="1:4" x14ac:dyDescent="0.25">
      <c r="A119" s="40" t="str">
        <f>FanduelExcel!B120</f>
        <v>PG</v>
      </c>
      <c r="B119" s="40" t="str">
        <f>FanduelExcel!C120&amp;" "&amp;FanduelExcel!E120</f>
        <v>Toney Douglas</v>
      </c>
      <c r="C119" s="40">
        <f>FanduelExcel!H120</f>
        <v>3800</v>
      </c>
      <c r="D119" s="40">
        <f>FanduelExcel!L120</f>
        <v>0</v>
      </c>
    </row>
    <row r="120" spans="1:4" x14ac:dyDescent="0.25">
      <c r="A120" s="40" t="str">
        <f>FanduelExcel!B121</f>
        <v>SF</v>
      </c>
      <c r="B120" s="40" t="str">
        <f>FanduelExcel!C121&amp;" "&amp;FanduelExcel!E121</f>
        <v>James Ennis III</v>
      </c>
      <c r="C120" s="40">
        <f>FanduelExcel!H121</f>
        <v>3800</v>
      </c>
      <c r="D120" s="40">
        <f>FanduelExcel!L121</f>
        <v>0</v>
      </c>
    </row>
    <row r="121" spans="1:4" x14ac:dyDescent="0.25">
      <c r="A121" s="40" t="str">
        <f>FanduelExcel!B122</f>
        <v>SG</v>
      </c>
      <c r="B121" s="40" t="str">
        <f>FanduelExcel!C122&amp;" "&amp;FanduelExcel!E122</f>
        <v>Sean Kilpatrick</v>
      </c>
      <c r="C121" s="40">
        <f>FanduelExcel!H122</f>
        <v>3800</v>
      </c>
      <c r="D121" s="40">
        <f>FanduelExcel!L122</f>
        <v>0</v>
      </c>
    </row>
    <row r="122" spans="1:4" x14ac:dyDescent="0.25">
      <c r="A122" s="40" t="str">
        <f>FanduelExcel!B123</f>
        <v>C</v>
      </c>
      <c r="B122" s="40" t="str">
        <f>FanduelExcel!C123&amp;" "&amp;FanduelExcel!E123</f>
        <v>Ivica Zubac</v>
      </c>
      <c r="C122" s="40">
        <f>FanduelExcel!H123</f>
        <v>3800</v>
      </c>
      <c r="D122" s="40">
        <f>FanduelExcel!L123</f>
        <v>0</v>
      </c>
    </row>
    <row r="123" spans="1:4" x14ac:dyDescent="0.25">
      <c r="A123" s="40" t="str">
        <f>FanduelExcel!B124</f>
        <v>PF</v>
      </c>
      <c r="B123" s="40" t="str">
        <f>FanduelExcel!C124&amp;" "&amp;FanduelExcel!E124</f>
        <v>Lavoy Allen</v>
      </c>
      <c r="C123" s="40">
        <f>FanduelExcel!H124</f>
        <v>3800</v>
      </c>
      <c r="D123" s="40">
        <f>FanduelExcel!L124</f>
        <v>0</v>
      </c>
    </row>
    <row r="124" spans="1:4" x14ac:dyDescent="0.25">
      <c r="A124" s="40" t="str">
        <f>FanduelExcel!B125</f>
        <v>SG</v>
      </c>
      <c r="B124" s="40" t="str">
        <f>FanduelExcel!C125&amp;" "&amp;FanduelExcel!E125</f>
        <v>E'Twaun Moore</v>
      </c>
      <c r="C124" s="40">
        <f>FanduelExcel!H125</f>
        <v>3800</v>
      </c>
      <c r="D124" s="40">
        <f>FanduelExcel!L125</f>
        <v>0</v>
      </c>
    </row>
    <row r="125" spans="1:4" x14ac:dyDescent="0.25">
      <c r="A125" s="40" t="str">
        <f>FanduelExcel!B126</f>
        <v>C</v>
      </c>
      <c r="B125" s="40" t="str">
        <f>FanduelExcel!C126&amp;" "&amp;FanduelExcel!E126</f>
        <v>Ian Mahinmi</v>
      </c>
      <c r="C125" s="40">
        <f>FanduelExcel!H126</f>
        <v>3800</v>
      </c>
      <c r="D125" s="40">
        <f>FanduelExcel!L126</f>
        <v>0</v>
      </c>
    </row>
    <row r="126" spans="1:4" x14ac:dyDescent="0.25">
      <c r="A126" s="40" t="str">
        <f>FanduelExcel!B127</f>
        <v>PG</v>
      </c>
      <c r="B126" s="40" t="str">
        <f>FanduelExcel!C127&amp;" "&amp;FanduelExcel!E127</f>
        <v>Kris Dunn</v>
      </c>
      <c r="C126" s="40">
        <f>FanduelExcel!H127</f>
        <v>3800</v>
      </c>
      <c r="D126" s="40" t="str">
        <f>FanduelExcel!L127</f>
        <v>GTD</v>
      </c>
    </row>
    <row r="127" spans="1:4" x14ac:dyDescent="0.25">
      <c r="A127" s="40" t="str">
        <f>FanduelExcel!B128</f>
        <v>SF</v>
      </c>
      <c r="B127" s="40" t="str">
        <f>FanduelExcel!C128&amp;" "&amp;FanduelExcel!E128</f>
        <v>Luol Deng</v>
      </c>
      <c r="C127" s="40">
        <f>FanduelExcel!H128</f>
        <v>3800</v>
      </c>
      <c r="D127" s="40">
        <f>FanduelExcel!L128</f>
        <v>0</v>
      </c>
    </row>
    <row r="128" spans="1:4" x14ac:dyDescent="0.25">
      <c r="A128" s="40" t="str">
        <f>FanduelExcel!B129</f>
        <v>C</v>
      </c>
      <c r="B128" s="40" t="str">
        <f>FanduelExcel!C129&amp;" "&amp;FanduelExcel!E129</f>
        <v>Joakim Noah</v>
      </c>
      <c r="C128" s="40">
        <f>FanduelExcel!H129</f>
        <v>3800</v>
      </c>
      <c r="D128" s="40" t="str">
        <f>FanduelExcel!L129</f>
        <v>GTD</v>
      </c>
    </row>
    <row r="129" spans="1:4" x14ac:dyDescent="0.25">
      <c r="A129" s="40" t="str">
        <f>FanduelExcel!B130</f>
        <v>PF</v>
      </c>
      <c r="B129" s="40" t="str">
        <f>FanduelExcel!C130&amp;" "&amp;FanduelExcel!E130</f>
        <v>Willie Cauley-Stein</v>
      </c>
      <c r="C129" s="40">
        <f>FanduelExcel!H130</f>
        <v>3800</v>
      </c>
      <c r="D129" s="40">
        <f>FanduelExcel!L130</f>
        <v>0</v>
      </c>
    </row>
    <row r="130" spans="1:4" x14ac:dyDescent="0.25">
      <c r="A130" s="40" t="str">
        <f>FanduelExcel!B131</f>
        <v>SF</v>
      </c>
      <c r="B130" s="40" t="str">
        <f>FanduelExcel!C131&amp;" "&amp;FanduelExcel!E131</f>
        <v>Rodney McGruder</v>
      </c>
      <c r="C130" s="40">
        <f>FanduelExcel!H131</f>
        <v>3800</v>
      </c>
      <c r="D130" s="40">
        <f>FanduelExcel!L131</f>
        <v>0</v>
      </c>
    </row>
    <row r="131" spans="1:4" x14ac:dyDescent="0.25">
      <c r="A131" s="40" t="str">
        <f>FanduelExcel!B132</f>
        <v>SF</v>
      </c>
      <c r="B131" s="40" t="str">
        <f>FanduelExcel!C132&amp;" "&amp;FanduelExcel!E132</f>
        <v>Vince Carter</v>
      </c>
      <c r="C131" s="40">
        <f>FanduelExcel!H132</f>
        <v>3800</v>
      </c>
      <c r="D131" s="40">
        <f>FanduelExcel!L132</f>
        <v>0</v>
      </c>
    </row>
    <row r="132" spans="1:4" x14ac:dyDescent="0.25">
      <c r="A132" s="40" t="str">
        <f>FanduelExcel!B133</f>
        <v>PG</v>
      </c>
      <c r="B132" s="40" t="str">
        <f>FanduelExcel!C133&amp;" "&amp;FanduelExcel!E133</f>
        <v>Jerian Grant</v>
      </c>
      <c r="C132" s="40">
        <f>FanduelExcel!H133</f>
        <v>3700</v>
      </c>
      <c r="D132" s="40">
        <f>FanduelExcel!L133</f>
        <v>0</v>
      </c>
    </row>
    <row r="133" spans="1:4" x14ac:dyDescent="0.25">
      <c r="A133" s="40" t="str">
        <f>FanduelExcel!B134</f>
        <v>SG</v>
      </c>
      <c r="B133" s="40" t="str">
        <f>FanduelExcel!C134&amp;" "&amp;FanduelExcel!E134</f>
        <v>Brandon Knight</v>
      </c>
      <c r="C133" s="40">
        <f>FanduelExcel!H134</f>
        <v>3700</v>
      </c>
      <c r="D133" s="40">
        <f>FanduelExcel!L134</f>
        <v>0</v>
      </c>
    </row>
    <row r="134" spans="1:4" x14ac:dyDescent="0.25">
      <c r="A134" s="40" t="str">
        <f>FanduelExcel!B135</f>
        <v>PF</v>
      </c>
      <c r="B134" s="40" t="str">
        <f>FanduelExcel!C135&amp;" "&amp;FanduelExcel!E135</f>
        <v>Nikola Mirotic</v>
      </c>
      <c r="C134" s="40">
        <f>FanduelExcel!H135</f>
        <v>3700</v>
      </c>
      <c r="D134" s="40">
        <f>FanduelExcel!L135</f>
        <v>0</v>
      </c>
    </row>
    <row r="135" spans="1:4" x14ac:dyDescent="0.25">
      <c r="A135" s="40" t="str">
        <f>FanduelExcel!B136</f>
        <v>PF</v>
      </c>
      <c r="B135" s="40" t="str">
        <f>FanduelExcel!C136&amp;" "&amp;FanduelExcel!E136</f>
        <v>Anthony Tolliver</v>
      </c>
      <c r="C135" s="40">
        <f>FanduelExcel!H136</f>
        <v>3700</v>
      </c>
      <c r="D135" s="40">
        <f>FanduelExcel!L136</f>
        <v>0</v>
      </c>
    </row>
    <row r="136" spans="1:4" x14ac:dyDescent="0.25">
      <c r="A136" s="40" t="str">
        <f>FanduelExcel!B137</f>
        <v>SG</v>
      </c>
      <c r="B136" s="40" t="str">
        <f>FanduelExcel!C137&amp;" "&amp;FanduelExcel!E137</f>
        <v>Wayne Ellington</v>
      </c>
      <c r="C136" s="40">
        <f>FanduelExcel!H137</f>
        <v>3700</v>
      </c>
      <c r="D136" s="40">
        <f>FanduelExcel!L137</f>
        <v>0</v>
      </c>
    </row>
    <row r="137" spans="1:4" x14ac:dyDescent="0.25">
      <c r="A137" s="40" t="str">
        <f>FanduelExcel!B138</f>
        <v>C</v>
      </c>
      <c r="B137" s="40" t="str">
        <f>FanduelExcel!C138&amp;" "&amp;FanduelExcel!E138</f>
        <v>Jusuf Nurkic</v>
      </c>
      <c r="C137" s="40">
        <f>FanduelExcel!H138</f>
        <v>3700</v>
      </c>
      <c r="D137" s="40">
        <f>FanduelExcel!L138</f>
        <v>0</v>
      </c>
    </row>
    <row r="138" spans="1:4" x14ac:dyDescent="0.25">
      <c r="A138" s="40" t="str">
        <f>FanduelExcel!B139</f>
        <v>SG</v>
      </c>
      <c r="B138" s="40" t="str">
        <f>FanduelExcel!C139&amp;" "&amp;FanduelExcel!E139</f>
        <v>Rashad Vaughn</v>
      </c>
      <c r="C138" s="40">
        <f>FanduelExcel!H139</f>
        <v>3700</v>
      </c>
      <c r="D138" s="40">
        <f>FanduelExcel!L139</f>
        <v>0</v>
      </c>
    </row>
    <row r="139" spans="1:4" x14ac:dyDescent="0.25">
      <c r="A139" s="40" t="str">
        <f>FanduelExcel!B140</f>
        <v>PG</v>
      </c>
      <c r="B139" s="40" t="str">
        <f>FanduelExcel!C140&amp;" "&amp;FanduelExcel!E140</f>
        <v>Jordan Farmar</v>
      </c>
      <c r="C139" s="40">
        <f>FanduelExcel!H140</f>
        <v>3700</v>
      </c>
      <c r="D139" s="40">
        <f>FanduelExcel!L140</f>
        <v>0</v>
      </c>
    </row>
    <row r="140" spans="1:4" x14ac:dyDescent="0.25">
      <c r="A140" s="40" t="str">
        <f>FanduelExcel!B141</f>
        <v>PF</v>
      </c>
      <c r="B140" s="40" t="str">
        <f>FanduelExcel!C141&amp;" "&amp;FanduelExcel!E141</f>
        <v>Jason Smith</v>
      </c>
      <c r="C140" s="40">
        <f>FanduelExcel!H141</f>
        <v>3700</v>
      </c>
      <c r="D140" s="40">
        <f>FanduelExcel!L141</f>
        <v>0</v>
      </c>
    </row>
    <row r="141" spans="1:4" x14ac:dyDescent="0.25">
      <c r="A141" s="40" t="str">
        <f>FanduelExcel!B142</f>
        <v>PG</v>
      </c>
      <c r="B141" s="40" t="str">
        <f>FanduelExcel!C142&amp;" "&amp;FanduelExcel!E142</f>
        <v>Ronnie Price</v>
      </c>
      <c r="C141" s="40">
        <f>FanduelExcel!H142</f>
        <v>3700</v>
      </c>
      <c r="D141" s="40">
        <f>FanduelExcel!L142</f>
        <v>0</v>
      </c>
    </row>
    <row r="142" spans="1:4" x14ac:dyDescent="0.25">
      <c r="A142" s="40" t="str">
        <f>FanduelExcel!B143</f>
        <v>C</v>
      </c>
      <c r="B142" s="40" t="str">
        <f>FanduelExcel!C143&amp;" "&amp;FanduelExcel!E143</f>
        <v>Kosta Koufos</v>
      </c>
      <c r="C142" s="40">
        <f>FanduelExcel!H143</f>
        <v>3600</v>
      </c>
      <c r="D142" s="40">
        <f>FanduelExcel!L143</f>
        <v>0</v>
      </c>
    </row>
    <row r="143" spans="1:4" x14ac:dyDescent="0.25">
      <c r="A143" s="40" t="str">
        <f>FanduelExcel!B144</f>
        <v>C</v>
      </c>
      <c r="B143" s="40" t="str">
        <f>FanduelExcel!C144&amp;" "&amp;FanduelExcel!E144</f>
        <v>JaVale McGee</v>
      </c>
      <c r="C143" s="40">
        <f>FanduelExcel!H144</f>
        <v>3600</v>
      </c>
      <c r="D143" s="40" t="str">
        <f>FanduelExcel!L144</f>
        <v>GTD</v>
      </c>
    </row>
    <row r="144" spans="1:4" x14ac:dyDescent="0.25">
      <c r="A144" s="40" t="str">
        <f>FanduelExcel!B145</f>
        <v>PF</v>
      </c>
      <c r="B144" s="40" t="str">
        <f>FanduelExcel!C145&amp;" "&amp;FanduelExcel!E145</f>
        <v>Cheick Diallo</v>
      </c>
      <c r="C144" s="40">
        <f>FanduelExcel!H145</f>
        <v>3600</v>
      </c>
      <c r="D144" s="40">
        <f>FanduelExcel!L145</f>
        <v>0</v>
      </c>
    </row>
    <row r="145" spans="1:4" x14ac:dyDescent="0.25">
      <c r="A145" s="40" t="str">
        <f>FanduelExcel!B146</f>
        <v>C</v>
      </c>
      <c r="B145" s="40" t="str">
        <f>FanduelExcel!C146&amp;" "&amp;FanduelExcel!E146</f>
        <v>Aron Baynes</v>
      </c>
      <c r="C145" s="40">
        <f>FanduelExcel!H146</f>
        <v>3600</v>
      </c>
      <c r="D145" s="40">
        <f>FanduelExcel!L146</f>
        <v>0</v>
      </c>
    </row>
    <row r="146" spans="1:4" x14ac:dyDescent="0.25">
      <c r="A146" s="40" t="str">
        <f>FanduelExcel!B147</f>
        <v>SF</v>
      </c>
      <c r="B146" s="40" t="str">
        <f>FanduelExcel!C147&amp;" "&amp;FanduelExcel!E147</f>
        <v>DeAndre' Bembry</v>
      </c>
      <c r="C146" s="40">
        <f>FanduelExcel!H147</f>
        <v>3600</v>
      </c>
      <c r="D146" s="40">
        <f>FanduelExcel!L147</f>
        <v>0</v>
      </c>
    </row>
    <row r="147" spans="1:4" x14ac:dyDescent="0.25">
      <c r="A147" s="40" t="str">
        <f>FanduelExcel!B148</f>
        <v>PG</v>
      </c>
      <c r="B147" s="40" t="str">
        <f>FanduelExcel!C148&amp;" "&amp;FanduelExcel!E148</f>
        <v>Tim Frazier</v>
      </c>
      <c r="C147" s="40">
        <f>FanduelExcel!H148</f>
        <v>3600</v>
      </c>
      <c r="D147" s="40">
        <f>FanduelExcel!L148</f>
        <v>0</v>
      </c>
    </row>
    <row r="148" spans="1:4" x14ac:dyDescent="0.25">
      <c r="A148" s="40" t="str">
        <f>FanduelExcel!B149</f>
        <v>SF</v>
      </c>
      <c r="B148" s="40" t="str">
        <f>FanduelExcel!C149&amp;" "&amp;FanduelExcel!E149</f>
        <v>Chandler Parsons</v>
      </c>
      <c r="C148" s="40">
        <f>FanduelExcel!H149</f>
        <v>3600</v>
      </c>
      <c r="D148" s="40" t="str">
        <f>FanduelExcel!L149</f>
        <v>O</v>
      </c>
    </row>
    <row r="149" spans="1:4" x14ac:dyDescent="0.25">
      <c r="A149" s="40" t="str">
        <f>FanduelExcel!B150</f>
        <v>SG</v>
      </c>
      <c r="B149" s="40" t="str">
        <f>FanduelExcel!C150&amp;" "&amp;FanduelExcel!E150</f>
        <v>Justin Holiday</v>
      </c>
      <c r="C149" s="40">
        <f>FanduelExcel!H150</f>
        <v>3600</v>
      </c>
      <c r="D149" s="40">
        <f>FanduelExcel!L150</f>
        <v>0</v>
      </c>
    </row>
    <row r="150" spans="1:4" x14ac:dyDescent="0.25">
      <c r="A150" s="40" t="str">
        <f>FanduelExcel!B151</f>
        <v>PF</v>
      </c>
      <c r="B150" s="40" t="str">
        <f>FanduelExcel!C151&amp;" "&amp;FanduelExcel!E151</f>
        <v>Omri Casspi</v>
      </c>
      <c r="C150" s="40">
        <f>FanduelExcel!H151</f>
        <v>3600</v>
      </c>
      <c r="D150" s="40" t="str">
        <f>FanduelExcel!L151</f>
        <v>O</v>
      </c>
    </row>
    <row r="151" spans="1:4" x14ac:dyDescent="0.25">
      <c r="A151" s="40" t="str">
        <f>FanduelExcel!B152</f>
        <v>SG</v>
      </c>
      <c r="B151" s="40" t="str">
        <f>FanduelExcel!C152&amp;" "&amp;FanduelExcel!E152</f>
        <v>Monta Ellis</v>
      </c>
      <c r="C151" s="40">
        <f>FanduelExcel!H152</f>
        <v>3600</v>
      </c>
      <c r="D151" s="40">
        <f>FanduelExcel!L152</f>
        <v>0</v>
      </c>
    </row>
    <row r="152" spans="1:4" x14ac:dyDescent="0.25">
      <c r="A152" s="40" t="str">
        <f>FanduelExcel!B153</f>
        <v>SG</v>
      </c>
      <c r="B152" s="40" t="str">
        <f>FanduelExcel!C153&amp;" "&amp;FanduelExcel!E153</f>
        <v>Brandon Rush</v>
      </c>
      <c r="C152" s="40">
        <f>FanduelExcel!H153</f>
        <v>3600</v>
      </c>
      <c r="D152" s="40">
        <f>FanduelExcel!L153</f>
        <v>0</v>
      </c>
    </row>
    <row r="153" spans="1:4" x14ac:dyDescent="0.25">
      <c r="A153" s="40" t="str">
        <f>FanduelExcel!B154</f>
        <v>SG</v>
      </c>
      <c r="B153" s="40" t="str">
        <f>FanduelExcel!C154&amp;" "&amp;FanduelExcel!E154</f>
        <v>Ben McLemore</v>
      </c>
      <c r="C153" s="40">
        <f>FanduelExcel!H154</f>
        <v>3600</v>
      </c>
      <c r="D153" s="40">
        <f>FanduelExcel!L154</f>
        <v>0</v>
      </c>
    </row>
    <row r="154" spans="1:4" x14ac:dyDescent="0.25">
      <c r="A154" s="40" t="str">
        <f>FanduelExcel!B155</f>
        <v>C</v>
      </c>
      <c r="B154" s="40" t="str">
        <f>FanduelExcel!C155&amp;" "&amp;FanduelExcel!E155</f>
        <v>Al Jefferson</v>
      </c>
      <c r="C154" s="40">
        <f>FanduelExcel!H155</f>
        <v>3600</v>
      </c>
      <c r="D154" s="40">
        <f>FanduelExcel!L155</f>
        <v>0</v>
      </c>
    </row>
    <row r="155" spans="1:4" x14ac:dyDescent="0.25">
      <c r="A155" s="40" t="str">
        <f>FanduelExcel!B156</f>
        <v>C</v>
      </c>
      <c r="B155" s="40" t="str">
        <f>FanduelExcel!C156&amp;" "&amp;FanduelExcel!E156</f>
        <v>Justin Hamilton</v>
      </c>
      <c r="C155" s="40">
        <f>FanduelExcel!H156</f>
        <v>3600</v>
      </c>
      <c r="D155" s="40">
        <f>FanduelExcel!L156</f>
        <v>0</v>
      </c>
    </row>
    <row r="156" spans="1:4" x14ac:dyDescent="0.25">
      <c r="A156" s="40" t="str">
        <f>FanduelExcel!B157</f>
        <v>SF</v>
      </c>
      <c r="B156" s="40" t="str">
        <f>FanduelExcel!C157&amp;" "&amp;FanduelExcel!E157</f>
        <v>Thabo Sefolosha</v>
      </c>
      <c r="C156" s="40">
        <f>FanduelExcel!H157</f>
        <v>3600</v>
      </c>
      <c r="D156" s="40" t="str">
        <f>FanduelExcel!L157</f>
        <v>O</v>
      </c>
    </row>
    <row r="157" spans="1:4" x14ac:dyDescent="0.25">
      <c r="A157" s="40" t="str">
        <f>FanduelExcel!B158</f>
        <v>PF</v>
      </c>
      <c r="B157" s="40" t="str">
        <f>FanduelExcel!C158&amp;" "&amp;FanduelExcel!E158</f>
        <v>Alex Len</v>
      </c>
      <c r="C157" s="40">
        <f>FanduelExcel!H158</f>
        <v>3600</v>
      </c>
      <c r="D157" s="40">
        <f>FanduelExcel!L158</f>
        <v>0</v>
      </c>
    </row>
    <row r="158" spans="1:4" x14ac:dyDescent="0.25">
      <c r="A158" s="40" t="str">
        <f>FanduelExcel!B159</f>
        <v>PF</v>
      </c>
      <c r="B158" s="40" t="str">
        <f>FanduelExcel!C159&amp;" "&amp;FanduelExcel!E159</f>
        <v>Jared Dudley</v>
      </c>
      <c r="C158" s="40">
        <f>FanduelExcel!H159</f>
        <v>3600</v>
      </c>
      <c r="D158" s="40">
        <f>FanduelExcel!L159</f>
        <v>0</v>
      </c>
    </row>
    <row r="159" spans="1:4" x14ac:dyDescent="0.25">
      <c r="A159" s="40" t="str">
        <f>FanduelExcel!B160</f>
        <v>PG</v>
      </c>
      <c r="B159" s="40" t="str">
        <f>FanduelExcel!C160&amp;" "&amp;FanduelExcel!E160</f>
        <v>Isaiah Canaan</v>
      </c>
      <c r="C159" s="40">
        <f>FanduelExcel!H160</f>
        <v>3500</v>
      </c>
      <c r="D159" s="40" t="str">
        <f>FanduelExcel!L160</f>
        <v>GTD</v>
      </c>
    </row>
    <row r="160" spans="1:4" x14ac:dyDescent="0.25">
      <c r="A160" s="40" t="str">
        <f>FanduelExcel!B161</f>
        <v>SG</v>
      </c>
      <c r="B160" s="40" t="str">
        <f>FanduelExcel!C161&amp;" "&amp;FanduelExcel!E161</f>
        <v>Randy Foye</v>
      </c>
      <c r="C160" s="40">
        <f>FanduelExcel!H161</f>
        <v>3500</v>
      </c>
      <c r="D160" s="40">
        <f>FanduelExcel!L161</f>
        <v>0</v>
      </c>
    </row>
    <row r="161" spans="1:4" x14ac:dyDescent="0.25">
      <c r="A161" s="40" t="str">
        <f>FanduelExcel!B162</f>
        <v>SF</v>
      </c>
      <c r="B161" s="40" t="str">
        <f>FanduelExcel!C162&amp;" "&amp;FanduelExcel!E162</f>
        <v>Mike Miller</v>
      </c>
      <c r="C161" s="40">
        <f>FanduelExcel!H162</f>
        <v>3500</v>
      </c>
      <c r="D161" s="40">
        <f>FanduelExcel!L162</f>
        <v>0</v>
      </c>
    </row>
    <row r="162" spans="1:4" x14ac:dyDescent="0.25">
      <c r="A162" s="40" t="str">
        <f>FanduelExcel!B163</f>
        <v>SG</v>
      </c>
      <c r="B162" s="40" t="str">
        <f>FanduelExcel!C163&amp;" "&amp;FanduelExcel!E163</f>
        <v>Malik Beasley</v>
      </c>
      <c r="C162" s="40">
        <f>FanduelExcel!H163</f>
        <v>3500</v>
      </c>
      <c r="D162" s="40">
        <f>FanduelExcel!L163</f>
        <v>0</v>
      </c>
    </row>
    <row r="163" spans="1:4" x14ac:dyDescent="0.25">
      <c r="A163" s="40" t="str">
        <f>FanduelExcel!B164</f>
        <v>SF</v>
      </c>
      <c r="B163" s="40" t="str">
        <f>FanduelExcel!C164&amp;" "&amp;FanduelExcel!E164</f>
        <v>Taurean Prince</v>
      </c>
      <c r="C163" s="40">
        <f>FanduelExcel!H164</f>
        <v>3500</v>
      </c>
      <c r="D163" s="40">
        <f>FanduelExcel!L164</f>
        <v>0</v>
      </c>
    </row>
    <row r="164" spans="1:4" x14ac:dyDescent="0.25">
      <c r="A164" s="40" t="str">
        <f>FanduelExcel!B165</f>
        <v>PF</v>
      </c>
      <c r="B164" s="40" t="str">
        <f>FanduelExcel!C165&amp;" "&amp;FanduelExcel!E165</f>
        <v>Jordan Hill</v>
      </c>
      <c r="C164" s="40">
        <f>FanduelExcel!H165</f>
        <v>3500</v>
      </c>
      <c r="D164" s="40">
        <f>FanduelExcel!L165</f>
        <v>0</v>
      </c>
    </row>
    <row r="165" spans="1:4" x14ac:dyDescent="0.25">
      <c r="A165" s="40" t="str">
        <f>FanduelExcel!B166</f>
        <v>PF</v>
      </c>
      <c r="B165" s="40" t="str">
        <f>FanduelExcel!C166&amp;" "&amp;FanduelExcel!E166</f>
        <v>Kevin Seraphin</v>
      </c>
      <c r="C165" s="40">
        <f>FanduelExcel!H166</f>
        <v>3500</v>
      </c>
      <c r="D165" s="40">
        <f>FanduelExcel!L166</f>
        <v>0</v>
      </c>
    </row>
    <row r="166" spans="1:4" x14ac:dyDescent="0.25">
      <c r="A166" s="40" t="str">
        <f>FanduelExcel!B167</f>
        <v>C</v>
      </c>
      <c r="B166" s="40" t="str">
        <f>FanduelExcel!C167&amp;" "&amp;FanduelExcel!E167</f>
        <v>Joel Anthony</v>
      </c>
      <c r="C166" s="40">
        <f>FanduelExcel!H167</f>
        <v>3500</v>
      </c>
      <c r="D166" s="40">
        <f>FanduelExcel!L167</f>
        <v>0</v>
      </c>
    </row>
    <row r="167" spans="1:4" x14ac:dyDescent="0.25">
      <c r="A167" s="40" t="str">
        <f>FanduelExcel!B168</f>
        <v>PG</v>
      </c>
      <c r="B167" s="40" t="str">
        <f>FanduelExcel!C168&amp;" "&amp;FanduelExcel!E168</f>
        <v>Greivis Vasquez</v>
      </c>
      <c r="C167" s="40">
        <f>FanduelExcel!H168</f>
        <v>3500</v>
      </c>
      <c r="D167" s="40">
        <f>FanduelExcel!L168</f>
        <v>0</v>
      </c>
    </row>
    <row r="168" spans="1:4" x14ac:dyDescent="0.25">
      <c r="A168" s="40" t="str">
        <f>FanduelExcel!B169</f>
        <v>SG</v>
      </c>
      <c r="B168" s="40" t="str">
        <f>FanduelExcel!C169&amp;" "&amp;FanduelExcel!E169</f>
        <v>Tomas Satoransky</v>
      </c>
      <c r="C168" s="40">
        <f>FanduelExcel!H169</f>
        <v>3500</v>
      </c>
      <c r="D168" s="40">
        <f>FanduelExcel!L169</f>
        <v>0</v>
      </c>
    </row>
    <row r="169" spans="1:4" x14ac:dyDescent="0.25">
      <c r="A169" s="40" t="str">
        <f>FanduelExcel!B170</f>
        <v>PF</v>
      </c>
      <c r="B169" s="40" t="str">
        <f>FanduelExcel!C170&amp;" "&amp;FanduelExcel!E170</f>
        <v>Skal Labissiere</v>
      </c>
      <c r="C169" s="40">
        <f>FanduelExcel!H170</f>
        <v>3500</v>
      </c>
      <c r="D169" s="40">
        <f>FanduelExcel!L170</f>
        <v>0</v>
      </c>
    </row>
    <row r="170" spans="1:4" x14ac:dyDescent="0.25">
      <c r="A170" s="40" t="str">
        <f>FanduelExcel!B171</f>
        <v>SF</v>
      </c>
      <c r="B170" s="40" t="str">
        <f>FanduelExcel!C171&amp;" "&amp;FanduelExcel!E171</f>
        <v>Luke Babbitt</v>
      </c>
      <c r="C170" s="40">
        <f>FanduelExcel!H171</f>
        <v>3500</v>
      </c>
      <c r="D170" s="40">
        <f>FanduelExcel!L171</f>
        <v>0</v>
      </c>
    </row>
    <row r="171" spans="1:4" x14ac:dyDescent="0.25">
      <c r="A171" s="40" t="str">
        <f>FanduelExcel!B172</f>
        <v>C</v>
      </c>
      <c r="B171" s="40" t="str">
        <f>FanduelExcel!C172&amp;" "&amp;FanduelExcel!E172</f>
        <v>Cole Aldrich</v>
      </c>
      <c r="C171" s="40">
        <f>FanduelExcel!H172</f>
        <v>3500</v>
      </c>
      <c r="D171" s="40">
        <f>FanduelExcel!L172</f>
        <v>0</v>
      </c>
    </row>
    <row r="172" spans="1:4" x14ac:dyDescent="0.25">
      <c r="A172" s="40" t="str">
        <f>FanduelExcel!B173</f>
        <v>SG</v>
      </c>
      <c r="B172" s="40" t="str">
        <f>FanduelExcel!C173&amp;" "&amp;FanduelExcel!E173</f>
        <v>Reggie Bullock</v>
      </c>
      <c r="C172" s="40">
        <f>FanduelExcel!H173</f>
        <v>3500</v>
      </c>
      <c r="D172" s="40">
        <f>FanduelExcel!L173</f>
        <v>0</v>
      </c>
    </row>
    <row r="173" spans="1:4" x14ac:dyDescent="0.25">
      <c r="A173" s="40" t="str">
        <f>FanduelExcel!B174</f>
        <v>C</v>
      </c>
      <c r="B173" s="40" t="str">
        <f>FanduelExcel!C174&amp;" "&amp;FanduelExcel!E174</f>
        <v>Alexis Ajinca</v>
      </c>
      <c r="C173" s="40">
        <f>FanduelExcel!H174</f>
        <v>3500</v>
      </c>
      <c r="D173" s="40">
        <f>FanduelExcel!L174</f>
        <v>0</v>
      </c>
    </row>
    <row r="174" spans="1:4" x14ac:dyDescent="0.25">
      <c r="A174" s="40" t="str">
        <f>FanduelExcel!B175</f>
        <v>PF</v>
      </c>
      <c r="B174" s="40" t="str">
        <f>FanduelExcel!C175&amp;" "&amp;FanduelExcel!E175</f>
        <v>Nemanja Bjelica</v>
      </c>
      <c r="C174" s="40">
        <f>FanduelExcel!H175</f>
        <v>3500</v>
      </c>
      <c r="D174" s="40">
        <f>FanduelExcel!L175</f>
        <v>0</v>
      </c>
    </row>
    <row r="175" spans="1:4" x14ac:dyDescent="0.25">
      <c r="A175" s="40" t="str">
        <f>FanduelExcel!B176</f>
        <v>PF</v>
      </c>
      <c r="B175" s="40" t="str">
        <f>FanduelExcel!C176&amp;" "&amp;FanduelExcel!E176</f>
        <v>Deyonta Davis</v>
      </c>
      <c r="C175" s="40">
        <f>FanduelExcel!H176</f>
        <v>3500</v>
      </c>
      <c r="D175" s="40">
        <f>FanduelExcel!L176</f>
        <v>0</v>
      </c>
    </row>
    <row r="176" spans="1:4" x14ac:dyDescent="0.25">
      <c r="A176" s="40" t="str">
        <f>FanduelExcel!B177</f>
        <v>PF</v>
      </c>
      <c r="B176" s="40" t="str">
        <f>FanduelExcel!C177&amp;" "&amp;FanduelExcel!E177</f>
        <v>James Michael McAdoo</v>
      </c>
      <c r="C176" s="40">
        <f>FanduelExcel!H177</f>
        <v>3500</v>
      </c>
      <c r="D176" s="40">
        <f>FanduelExcel!L177</f>
        <v>0</v>
      </c>
    </row>
    <row r="177" spans="1:4" x14ac:dyDescent="0.25">
      <c r="A177" s="40" t="str">
        <f>FanduelExcel!B178</f>
        <v>PF</v>
      </c>
      <c r="B177" s="40" t="str">
        <f>FanduelExcel!C178&amp;" "&amp;FanduelExcel!E178</f>
        <v>Chris McCullough</v>
      </c>
      <c r="C177" s="40">
        <f>FanduelExcel!H178</f>
        <v>3500</v>
      </c>
      <c r="D177" s="40">
        <f>FanduelExcel!L178</f>
        <v>0</v>
      </c>
    </row>
    <row r="178" spans="1:4" x14ac:dyDescent="0.25">
      <c r="A178" s="40" t="str">
        <f>FanduelExcel!B179</f>
        <v>PG</v>
      </c>
      <c r="B178" s="40" t="str">
        <f>FanduelExcel!C179&amp;" "&amp;FanduelExcel!E179</f>
        <v>Tyler Ulis</v>
      </c>
      <c r="C178" s="40">
        <f>FanduelExcel!H179</f>
        <v>3500</v>
      </c>
      <c r="D178" s="40">
        <f>FanduelExcel!L179</f>
        <v>0</v>
      </c>
    </row>
    <row r="179" spans="1:4" x14ac:dyDescent="0.25">
      <c r="A179" s="40" t="str">
        <f>FanduelExcel!B180</f>
        <v>PF</v>
      </c>
      <c r="B179" s="40" t="str">
        <f>FanduelExcel!C180&amp;" "&amp;FanduelExcel!E180</f>
        <v>Quincy Acy</v>
      </c>
      <c r="C179" s="40">
        <f>FanduelExcel!H180</f>
        <v>3500</v>
      </c>
      <c r="D179" s="40" t="str">
        <f>FanduelExcel!L180</f>
        <v>O</v>
      </c>
    </row>
    <row r="180" spans="1:4" x14ac:dyDescent="0.25">
      <c r="A180" s="40" t="str">
        <f>FanduelExcel!B181</f>
        <v>SG</v>
      </c>
      <c r="B180" s="40" t="str">
        <f>FanduelExcel!C181&amp;" "&amp;FanduelExcel!E181</f>
        <v>Buddy Hield</v>
      </c>
      <c r="C180" s="40">
        <f>FanduelExcel!H181</f>
        <v>3500</v>
      </c>
      <c r="D180" s="40">
        <f>FanduelExcel!L181</f>
        <v>0</v>
      </c>
    </row>
    <row r="181" spans="1:4" x14ac:dyDescent="0.25">
      <c r="A181" s="40" t="str">
        <f>FanduelExcel!B182</f>
        <v>SF</v>
      </c>
      <c r="B181" s="40" t="str">
        <f>FanduelExcel!C182&amp;" "&amp;FanduelExcel!E182</f>
        <v>Georges Niang</v>
      </c>
      <c r="C181" s="40">
        <f>FanduelExcel!H182</f>
        <v>3500</v>
      </c>
      <c r="D181" s="40">
        <f>FanduelExcel!L182</f>
        <v>0</v>
      </c>
    </row>
    <row r="182" spans="1:4" x14ac:dyDescent="0.25">
      <c r="A182" s="40" t="str">
        <f>FanduelExcel!B183</f>
        <v>C</v>
      </c>
      <c r="B182" s="40" t="str">
        <f>FanduelExcel!C183&amp;" "&amp;FanduelExcel!E183</f>
        <v>Damian Jones</v>
      </c>
      <c r="C182" s="40">
        <f>FanduelExcel!H183</f>
        <v>3500</v>
      </c>
      <c r="D182" s="40">
        <f>FanduelExcel!L183</f>
        <v>0</v>
      </c>
    </row>
    <row r="183" spans="1:4" x14ac:dyDescent="0.25">
      <c r="A183" s="40" t="str">
        <f>FanduelExcel!B184</f>
        <v>PG</v>
      </c>
      <c r="B183" s="40" t="str">
        <f>FanduelExcel!C184&amp;" "&amp;FanduelExcel!E184</f>
        <v>Wade Baldwin IV</v>
      </c>
      <c r="C183" s="40">
        <f>FanduelExcel!H184</f>
        <v>3500</v>
      </c>
      <c r="D183" s="40">
        <f>FanduelExcel!L184</f>
        <v>0</v>
      </c>
    </row>
    <row r="184" spans="1:4" x14ac:dyDescent="0.25">
      <c r="A184" s="40" t="str">
        <f>FanduelExcel!B185</f>
        <v>PG</v>
      </c>
      <c r="B184" s="40" t="str">
        <f>FanduelExcel!C185&amp;" "&amp;FanduelExcel!E185</f>
        <v>Dejounte Murray</v>
      </c>
      <c r="C184" s="40">
        <f>FanduelExcel!H185</f>
        <v>3500</v>
      </c>
      <c r="D184" s="40">
        <f>FanduelExcel!L185</f>
        <v>0</v>
      </c>
    </row>
    <row r="185" spans="1:4" x14ac:dyDescent="0.25">
      <c r="A185" s="40" t="str">
        <f>FanduelExcel!B186</f>
        <v>C</v>
      </c>
      <c r="B185" s="40" t="str">
        <f>FanduelExcel!C186&amp;" "&amp;FanduelExcel!E186</f>
        <v>Tiago Splitter</v>
      </c>
      <c r="C185" s="40">
        <f>FanduelExcel!H186</f>
        <v>3500</v>
      </c>
      <c r="D185" s="40" t="str">
        <f>FanduelExcel!L186</f>
        <v>O</v>
      </c>
    </row>
    <row r="186" spans="1:4" x14ac:dyDescent="0.25">
      <c r="A186" s="40" t="str">
        <f>FanduelExcel!B187</f>
        <v>C</v>
      </c>
      <c r="B186" s="40" t="str">
        <f>FanduelExcel!C187&amp;" "&amp;FanduelExcel!E187</f>
        <v>Alan Williams</v>
      </c>
      <c r="C186" s="40">
        <f>FanduelExcel!H187</f>
        <v>3500</v>
      </c>
      <c r="D186" s="40">
        <f>FanduelExcel!L187</f>
        <v>0</v>
      </c>
    </row>
    <row r="187" spans="1:4" x14ac:dyDescent="0.25">
      <c r="A187" s="40" t="str">
        <f>FanduelExcel!B188</f>
        <v>C</v>
      </c>
      <c r="B187" s="40" t="str">
        <f>FanduelExcel!C188&amp;" "&amp;FanduelExcel!E188</f>
        <v>Omer Asik</v>
      </c>
      <c r="C187" s="40">
        <f>FanduelExcel!H188</f>
        <v>3500</v>
      </c>
      <c r="D187" s="40">
        <f>FanduelExcel!L188</f>
        <v>0</v>
      </c>
    </row>
    <row r="188" spans="1:4" x14ac:dyDescent="0.25">
      <c r="A188" s="40" t="str">
        <f>FanduelExcel!B189</f>
        <v>C</v>
      </c>
      <c r="B188" s="40" t="str">
        <f>FanduelExcel!C189&amp;" "&amp;FanduelExcel!E189</f>
        <v>Timofey Mozgov</v>
      </c>
      <c r="C188" s="40">
        <f>FanduelExcel!H189</f>
        <v>3500</v>
      </c>
      <c r="D188" s="40">
        <f>FanduelExcel!L189</f>
        <v>0</v>
      </c>
    </row>
    <row r="189" spans="1:4" x14ac:dyDescent="0.25">
      <c r="A189" s="40" t="str">
        <f>FanduelExcel!B190</f>
        <v>SG</v>
      </c>
      <c r="B189" s="40" t="str">
        <f>FanduelExcel!C190&amp;" "&amp;FanduelExcel!E190</f>
        <v>Malachi Richardson</v>
      </c>
      <c r="C189" s="40">
        <f>FanduelExcel!H190</f>
        <v>3500</v>
      </c>
      <c r="D189" s="40">
        <f>FanduelExcel!L190</f>
        <v>0</v>
      </c>
    </row>
    <row r="190" spans="1:4" x14ac:dyDescent="0.25">
      <c r="A190" s="40" t="str">
        <f>FanduelExcel!B191</f>
        <v>PF</v>
      </c>
      <c r="B190" s="40" t="str">
        <f>FanduelExcel!C191&amp;" "&amp;FanduelExcel!E191</f>
        <v>Maurice Ndour</v>
      </c>
      <c r="C190" s="40">
        <f>FanduelExcel!H191</f>
        <v>3500</v>
      </c>
      <c r="D190" s="40">
        <f>FanduelExcel!L191</f>
        <v>0</v>
      </c>
    </row>
    <row r="191" spans="1:4" x14ac:dyDescent="0.25">
      <c r="A191" s="40" t="str">
        <f>FanduelExcel!B192</f>
        <v>PF</v>
      </c>
      <c r="B191" s="40" t="str">
        <f>FanduelExcel!C192&amp;" "&amp;FanduelExcel!E192</f>
        <v>Dragan Bender</v>
      </c>
      <c r="C191" s="40">
        <f>FanduelExcel!H192</f>
        <v>3500</v>
      </c>
      <c r="D191" s="40" t="str">
        <f>FanduelExcel!L192</f>
        <v>O</v>
      </c>
    </row>
    <row r="192" spans="1:4" x14ac:dyDescent="0.25">
      <c r="A192" s="40" t="str">
        <f>FanduelExcel!B193</f>
        <v>SF</v>
      </c>
      <c r="B192" s="40" t="str">
        <f>FanduelExcel!C193&amp;" "&amp;FanduelExcel!E193</f>
        <v>Kyle Anderson</v>
      </c>
      <c r="C192" s="40">
        <f>FanduelExcel!H193</f>
        <v>3500</v>
      </c>
      <c r="D192" s="40">
        <f>FanduelExcel!L193</f>
        <v>0</v>
      </c>
    </row>
    <row r="193" spans="1:4" x14ac:dyDescent="0.25">
      <c r="A193" s="40" t="str">
        <f>FanduelExcel!B194</f>
        <v>C</v>
      </c>
      <c r="B193" s="40" t="str">
        <f>FanduelExcel!C194&amp;" "&amp;FanduelExcel!E194</f>
        <v>Georgios Papagiannis</v>
      </c>
      <c r="C193" s="40">
        <f>FanduelExcel!H194</f>
        <v>3500</v>
      </c>
      <c r="D193" s="40">
        <f>FanduelExcel!L194</f>
        <v>0</v>
      </c>
    </row>
    <row r="194" spans="1:4" x14ac:dyDescent="0.25">
      <c r="A194" s="40" t="str">
        <f>FanduelExcel!B195</f>
        <v>PF</v>
      </c>
      <c r="B194" s="40" t="str">
        <f>FanduelExcel!C195&amp;" "&amp;FanduelExcel!E195</f>
        <v>Thon Maker</v>
      </c>
      <c r="C194" s="40">
        <f>FanduelExcel!H195</f>
        <v>3500</v>
      </c>
      <c r="D194" s="40">
        <f>FanduelExcel!L195</f>
        <v>0</v>
      </c>
    </row>
    <row r="195" spans="1:4" x14ac:dyDescent="0.25">
      <c r="A195" s="40" t="str">
        <f>FanduelExcel!B196</f>
        <v>SF</v>
      </c>
      <c r="B195" s="40" t="str">
        <f>FanduelExcel!C196&amp;" "&amp;FanduelExcel!E196</f>
        <v>Troy Williams</v>
      </c>
      <c r="C195" s="40">
        <f>FanduelExcel!H196</f>
        <v>3500</v>
      </c>
      <c r="D195" s="40">
        <f>FanduelExcel!L196</f>
        <v>0</v>
      </c>
    </row>
    <row r="196" spans="1:4" x14ac:dyDescent="0.25">
      <c r="A196" s="40" t="str">
        <f>FanduelExcel!B197</f>
        <v>SF</v>
      </c>
      <c r="B196" s="40" t="str">
        <f>FanduelExcel!C197&amp;" "&amp;FanduelExcel!E197</f>
        <v>Steve Novak</v>
      </c>
      <c r="C196" s="40">
        <f>FanduelExcel!H197</f>
        <v>3500</v>
      </c>
      <c r="D196" s="40">
        <f>FanduelExcel!L197</f>
        <v>0</v>
      </c>
    </row>
    <row r="197" spans="1:4" x14ac:dyDescent="0.25">
      <c r="A197" s="40" t="str">
        <f>FanduelExcel!B198</f>
        <v>PF</v>
      </c>
      <c r="B197" s="40" t="str">
        <f>FanduelExcel!C198&amp;" "&amp;FanduelExcel!E198</f>
        <v>Juancho Hernangomez</v>
      </c>
      <c r="C197" s="40">
        <f>FanduelExcel!H198</f>
        <v>3500</v>
      </c>
      <c r="D197" s="40">
        <f>FanduelExcel!L198</f>
        <v>0</v>
      </c>
    </row>
    <row r="198" spans="1:4" x14ac:dyDescent="0.25">
      <c r="A198" s="40" t="str">
        <f>FanduelExcel!B199</f>
        <v>PG</v>
      </c>
      <c r="B198" s="40" t="str">
        <f>FanduelExcel!C199&amp;" "&amp;FanduelExcel!E199</f>
        <v>Andrew Harrison</v>
      </c>
      <c r="C198" s="40">
        <f>FanduelExcel!H199</f>
        <v>3500</v>
      </c>
      <c r="D198" s="40">
        <f>FanduelExcel!L199</f>
        <v>0</v>
      </c>
    </row>
    <row r="199" spans="1:4" x14ac:dyDescent="0.25">
      <c r="A199" s="40" t="str">
        <f>FanduelExcel!B200</f>
        <v>PF</v>
      </c>
      <c r="B199" s="40" t="str">
        <f>FanduelExcel!C200&amp;" "&amp;FanduelExcel!E200</f>
        <v>Bobby Portis</v>
      </c>
      <c r="C199" s="40">
        <f>FanduelExcel!H200</f>
        <v>3500</v>
      </c>
      <c r="D199" s="40">
        <f>FanduelExcel!L200</f>
        <v>0</v>
      </c>
    </row>
    <row r="200" spans="1:4" x14ac:dyDescent="0.25">
      <c r="A200" s="40" t="str">
        <f>FanduelExcel!B201</f>
        <v>SF</v>
      </c>
      <c r="B200" s="40" t="str">
        <f>FanduelExcel!C201&amp;" "&amp;FanduelExcel!E201</f>
        <v>Mindaugas Kuzminskas</v>
      </c>
      <c r="C200" s="40">
        <f>FanduelExcel!H201</f>
        <v>3500</v>
      </c>
      <c r="D200" s="40">
        <f>FanduelExcel!L201</f>
        <v>0</v>
      </c>
    </row>
    <row r="201" spans="1:4" x14ac:dyDescent="0.25">
      <c r="A201" s="40" t="str">
        <f>FanduelExcel!B202</f>
        <v>SF</v>
      </c>
      <c r="B201" s="40" t="str">
        <f>FanduelExcel!C202&amp;" "&amp;FanduelExcel!E202</f>
        <v>Paul Zipser</v>
      </c>
      <c r="C201" s="40">
        <f>FanduelExcel!H202</f>
        <v>3500</v>
      </c>
      <c r="D201" s="40" t="str">
        <f>FanduelExcel!L202</f>
        <v>GTD</v>
      </c>
    </row>
    <row r="202" spans="1:4" x14ac:dyDescent="0.25">
      <c r="A202" s="40" t="str">
        <f>FanduelExcel!B203</f>
        <v>PG</v>
      </c>
      <c r="B202" s="40" t="str">
        <f>FanduelExcel!C203&amp;" "&amp;FanduelExcel!E203</f>
        <v>Spencer Dinwiddie</v>
      </c>
      <c r="C202" s="40">
        <f>FanduelExcel!H203</f>
        <v>3500</v>
      </c>
      <c r="D202" s="40">
        <f>FanduelExcel!L203</f>
        <v>0</v>
      </c>
    </row>
    <row r="203" spans="1:4" x14ac:dyDescent="0.25">
      <c r="A203" s="40" t="str">
        <f>FanduelExcel!B204</f>
        <v>PF</v>
      </c>
      <c r="B203" s="40" t="str">
        <f>FanduelExcel!C204&amp;" "&amp;FanduelExcel!E204</f>
        <v>Donatas Motiejunas</v>
      </c>
      <c r="C203" s="40">
        <f>FanduelExcel!H204</f>
        <v>3500</v>
      </c>
      <c r="D203" s="40">
        <f>FanduelExcel!L204</f>
        <v>0</v>
      </c>
    </row>
    <row r="204" spans="1:4" x14ac:dyDescent="0.25">
      <c r="A204" s="40" t="str">
        <f>FanduelExcel!B205</f>
        <v>PF</v>
      </c>
      <c r="B204" s="40" t="str">
        <f>FanduelExcel!C205&amp;" "&amp;FanduelExcel!E205</f>
        <v>Daniel Ochefu</v>
      </c>
      <c r="C204" s="40">
        <f>FanduelExcel!H205</f>
        <v>3500</v>
      </c>
      <c r="D204" s="40">
        <f>FanduelExcel!L205</f>
        <v>0</v>
      </c>
    </row>
    <row r="205" spans="1:4" x14ac:dyDescent="0.25">
      <c r="A205" s="40" t="str">
        <f>FanduelExcel!B206</f>
        <v>PG</v>
      </c>
      <c r="B205" s="40" t="str">
        <f>FanduelExcel!C206&amp;" "&amp;FanduelExcel!E206</f>
        <v>Ron Baker</v>
      </c>
      <c r="C205" s="40">
        <f>FanduelExcel!H206</f>
        <v>3500</v>
      </c>
      <c r="D205" s="40">
        <f>FanduelExcel!L206</f>
        <v>0</v>
      </c>
    </row>
    <row r="206" spans="1:4" x14ac:dyDescent="0.25">
      <c r="A206" s="40" t="str">
        <f>FanduelExcel!B207</f>
        <v>C</v>
      </c>
      <c r="B206" s="40" t="str">
        <f>FanduelExcel!C207&amp;" "&amp;FanduelExcel!E207</f>
        <v>Brandan Wright</v>
      </c>
      <c r="C206" s="40">
        <f>FanduelExcel!H207</f>
        <v>3500</v>
      </c>
      <c r="D206" s="40">
        <f>FanduelExcel!L207</f>
        <v>0</v>
      </c>
    </row>
    <row r="207" spans="1:4" x14ac:dyDescent="0.25">
      <c r="A207" s="40" t="str">
        <f>FanduelExcel!B208</f>
        <v>SF</v>
      </c>
      <c r="B207" s="40" t="str">
        <f>FanduelExcel!C208&amp;" "&amp;FanduelExcel!E208</f>
        <v>Davis Bertans</v>
      </c>
      <c r="C207" s="40">
        <f>FanduelExcel!H208</f>
        <v>3500</v>
      </c>
      <c r="D207" s="40">
        <f>FanduelExcel!L208</f>
        <v>0</v>
      </c>
    </row>
    <row r="208" spans="1:4" x14ac:dyDescent="0.25">
      <c r="A208" s="40" t="str">
        <f>FanduelExcel!B209</f>
        <v>SG</v>
      </c>
      <c r="B208" s="40" t="str">
        <f>FanduelExcel!C209&amp;" "&amp;FanduelExcel!E209</f>
        <v>R.J. Hunter</v>
      </c>
      <c r="C208" s="40">
        <f>FanduelExcel!H209</f>
        <v>3500</v>
      </c>
      <c r="D208" s="40">
        <f>FanduelExcel!L209</f>
        <v>0</v>
      </c>
    </row>
    <row r="209" spans="1:4" x14ac:dyDescent="0.25">
      <c r="A209" s="40" t="str">
        <f>FanduelExcel!B210</f>
        <v>PF</v>
      </c>
      <c r="B209" s="40" t="str">
        <f>FanduelExcel!C210&amp;" "&amp;FanduelExcel!E210</f>
        <v>Kevon Looney</v>
      </c>
      <c r="C209" s="40">
        <f>FanduelExcel!H210</f>
        <v>3500</v>
      </c>
      <c r="D209" s="40">
        <f>FanduelExcel!L210</f>
        <v>0</v>
      </c>
    </row>
    <row r="210" spans="1:4" x14ac:dyDescent="0.25">
      <c r="A210" s="40" t="str">
        <f>FanduelExcel!B211</f>
        <v>PG</v>
      </c>
      <c r="B210" s="40" t="str">
        <f>FanduelExcel!C211&amp;" "&amp;FanduelExcel!E211</f>
        <v>Patty Mills</v>
      </c>
      <c r="C210" s="40">
        <f>FanduelExcel!H211</f>
        <v>3500</v>
      </c>
      <c r="D210" s="40">
        <f>FanduelExcel!L211</f>
        <v>0</v>
      </c>
    </row>
    <row r="211" spans="1:4" x14ac:dyDescent="0.25">
      <c r="A211" s="40" t="str">
        <f>FanduelExcel!B212</f>
        <v>SF</v>
      </c>
      <c r="B211" s="40" t="str">
        <f>FanduelExcel!C212&amp;" "&amp;FanduelExcel!E212</f>
        <v>Dante Cunningham</v>
      </c>
      <c r="C211" s="40">
        <f>FanduelExcel!H212</f>
        <v>3500</v>
      </c>
      <c r="D211" s="40">
        <f>FanduelExcel!L212</f>
        <v>0</v>
      </c>
    </row>
    <row r="212" spans="1:4" x14ac:dyDescent="0.25">
      <c r="A212" s="40" t="str">
        <f>FanduelExcel!B213</f>
        <v>SG</v>
      </c>
      <c r="B212" s="40" t="str">
        <f>FanduelExcel!C213&amp;" "&amp;FanduelExcel!E213</f>
        <v>Lamar Patterson</v>
      </c>
      <c r="C212" s="40">
        <f>FanduelExcel!H213</f>
        <v>3500</v>
      </c>
      <c r="D212" s="40">
        <f>FanduelExcel!L213</f>
        <v>0</v>
      </c>
    </row>
    <row r="213" spans="1:4" x14ac:dyDescent="0.25">
      <c r="A213" s="40" t="str">
        <f>FanduelExcel!B214</f>
        <v>SG</v>
      </c>
      <c r="B213" s="40" t="str">
        <f>FanduelExcel!C214&amp;" "&amp;FanduelExcel!E214</f>
        <v>Michael Gbinije</v>
      </c>
      <c r="C213" s="40">
        <f>FanduelExcel!H214</f>
        <v>3500</v>
      </c>
      <c r="D213" s="40">
        <f>FanduelExcel!L214</f>
        <v>0</v>
      </c>
    </row>
    <row r="214" spans="1:4" x14ac:dyDescent="0.25">
      <c r="A214" s="40" t="str">
        <f>FanduelExcel!B215</f>
        <v>SG</v>
      </c>
      <c r="B214" s="40" t="str">
        <f>FanduelExcel!C215&amp;" "&amp;FanduelExcel!E215</f>
        <v>Marcus Thornton</v>
      </c>
      <c r="C214" s="40">
        <f>FanduelExcel!H215</f>
        <v>3500</v>
      </c>
      <c r="D214" s="40">
        <f>FanduelExcel!L215</f>
        <v>0</v>
      </c>
    </row>
    <row r="215" spans="1:4" x14ac:dyDescent="0.25">
      <c r="A215" s="40" t="str">
        <f>FanduelExcel!B216</f>
        <v>SF</v>
      </c>
      <c r="B215" s="40" t="str">
        <f>FanduelExcel!C216&amp;" "&amp;FanduelExcel!E216</f>
        <v>Ryan Kelly</v>
      </c>
      <c r="C215" s="40">
        <f>FanduelExcel!H216</f>
        <v>3500</v>
      </c>
      <c r="D215" s="40">
        <f>FanduelExcel!L216</f>
        <v>0</v>
      </c>
    </row>
    <row r="216" spans="1:4" x14ac:dyDescent="0.25">
      <c r="A216" s="40" t="str">
        <f>FanduelExcel!B217</f>
        <v>C</v>
      </c>
      <c r="B216" s="40" t="str">
        <f>FanduelExcel!C217&amp;" "&amp;FanduelExcel!E217</f>
        <v>Marshall Plumlee</v>
      </c>
      <c r="C216" s="40">
        <f>FanduelExcel!H217</f>
        <v>3500</v>
      </c>
      <c r="D216" s="40">
        <f>FanduelExcel!L217</f>
        <v>0</v>
      </c>
    </row>
    <row r="217" spans="1:4" x14ac:dyDescent="0.25">
      <c r="A217" s="40" t="str">
        <f>FanduelExcel!B218</f>
        <v>SG</v>
      </c>
      <c r="B217" s="40" t="str">
        <f>FanduelExcel!C218&amp;" "&amp;FanduelExcel!E218</f>
        <v>Bryn Forbes</v>
      </c>
      <c r="C217" s="40">
        <f>FanduelExcel!H218</f>
        <v>3500</v>
      </c>
      <c r="D217" s="40">
        <f>FanduelExcel!L218</f>
        <v>0</v>
      </c>
    </row>
    <row r="218" spans="1:4" x14ac:dyDescent="0.25">
      <c r="A218" s="40" t="str">
        <f>FanduelExcel!B219</f>
        <v>SF</v>
      </c>
      <c r="B218" s="40" t="str">
        <f>FanduelExcel!C219&amp;" "&amp;FanduelExcel!E219</f>
        <v>Glenn Robinson III</v>
      </c>
      <c r="C218" s="40">
        <f>FanduelExcel!H219</f>
        <v>3500</v>
      </c>
      <c r="D218" s="40">
        <f>FanduelExcel!L219</f>
        <v>0</v>
      </c>
    </row>
    <row r="219" spans="1:4" x14ac:dyDescent="0.25">
      <c r="A219" s="40" t="str">
        <f>FanduelExcel!B220</f>
        <v>SF</v>
      </c>
      <c r="B219" s="40" t="str">
        <f>FanduelExcel!C220&amp;" "&amp;FanduelExcel!E220</f>
        <v>Danuel House</v>
      </c>
      <c r="C219" s="40">
        <f>FanduelExcel!H220</f>
        <v>3500</v>
      </c>
      <c r="D219" s="40" t="str">
        <f>FanduelExcel!L220</f>
        <v>GTD</v>
      </c>
    </row>
    <row r="220" spans="1:4" x14ac:dyDescent="0.25">
      <c r="A220" s="40" t="str">
        <f>FanduelExcel!B221</f>
        <v>PF</v>
      </c>
      <c r="B220" s="40" t="str">
        <f>FanduelExcel!C221&amp;" "&amp;FanduelExcel!E221</f>
        <v>Okaro White</v>
      </c>
      <c r="C220" s="40">
        <f>FanduelExcel!H221</f>
        <v>3500</v>
      </c>
      <c r="D220" s="40">
        <f>FanduelExcel!L221</f>
        <v>0</v>
      </c>
    </row>
    <row r="221" spans="1:4" x14ac:dyDescent="0.25">
      <c r="A221" s="40" t="str">
        <f>FanduelExcel!B222</f>
        <v>PG</v>
      </c>
      <c r="B221" s="40" t="str">
        <f>FanduelExcel!C222&amp;" "&amp;FanduelExcel!E222</f>
        <v>Archie Goodwin</v>
      </c>
      <c r="C221" s="40">
        <f>FanduelExcel!H222</f>
        <v>3500</v>
      </c>
      <c r="D221" s="40">
        <f>FanduelExcel!L222</f>
        <v>0</v>
      </c>
    </row>
    <row r="222" spans="1:4" x14ac:dyDescent="0.25">
      <c r="A222" s="40" t="str">
        <f>FanduelExcel!B223</f>
        <v>C</v>
      </c>
      <c r="B222" s="40" t="str">
        <f>FanduelExcel!C223&amp;" "&amp;FanduelExcel!E223</f>
        <v>Anderson Varejao</v>
      </c>
      <c r="C222" s="40">
        <f>FanduelExcel!H223</f>
        <v>3500</v>
      </c>
      <c r="D222" s="40">
        <f>FanduelExcel!L223</f>
        <v>0</v>
      </c>
    </row>
    <row r="223" spans="1:4" x14ac:dyDescent="0.25">
      <c r="A223" s="40" t="str">
        <f>FanduelExcel!B224</f>
        <v>C</v>
      </c>
      <c r="B223" s="40" t="str">
        <f>FanduelExcel!C224&amp;" "&amp;FanduelExcel!E224</f>
        <v>Edy Tavares</v>
      </c>
      <c r="C223" s="40">
        <f>FanduelExcel!H224</f>
        <v>3500</v>
      </c>
      <c r="D223" s="40">
        <f>FanduelExcel!L224</f>
        <v>0</v>
      </c>
    </row>
    <row r="224" spans="1:4" x14ac:dyDescent="0.25">
      <c r="A224" s="40" t="str">
        <f>FanduelExcel!B225</f>
        <v>PG</v>
      </c>
      <c r="B224" s="40" t="str">
        <f>FanduelExcel!C225&amp;" "&amp;FanduelExcel!E225</f>
        <v>Jason Terry</v>
      </c>
      <c r="C224" s="40">
        <f>FanduelExcel!H225</f>
        <v>3500</v>
      </c>
      <c r="D224" s="40">
        <f>FanduelExcel!L225</f>
        <v>0</v>
      </c>
    </row>
    <row r="225" spans="1:4" x14ac:dyDescent="0.25">
      <c r="A225" s="40" t="str">
        <f>FanduelExcel!B226</f>
        <v>PF</v>
      </c>
      <c r="B225" s="40" t="str">
        <f>FanduelExcel!C226&amp;" "&amp;FanduelExcel!E226</f>
        <v>Kris Humphries</v>
      </c>
      <c r="C225" s="40">
        <f>FanduelExcel!H226</f>
        <v>3500</v>
      </c>
      <c r="D225" s="40">
        <f>FanduelExcel!L226</f>
        <v>0</v>
      </c>
    </row>
    <row r="226" spans="1:4" x14ac:dyDescent="0.25">
      <c r="A226" s="40" t="str">
        <f>FanduelExcel!B227</f>
        <v>SG</v>
      </c>
      <c r="B226" s="40" t="str">
        <f>FanduelExcel!C227&amp;" "&amp;FanduelExcel!E227</f>
        <v>Patrick McCaw</v>
      </c>
      <c r="C226" s="40">
        <f>FanduelExcel!H227</f>
        <v>3500</v>
      </c>
      <c r="D226" s="40">
        <f>FanduelExcel!L227</f>
        <v>0</v>
      </c>
    </row>
    <row r="227" spans="1:4" x14ac:dyDescent="0.25">
      <c r="A227" s="40" t="str">
        <f>FanduelExcel!B228</f>
        <v>SG</v>
      </c>
      <c r="B227" s="40" t="str">
        <f>FanduelExcel!C228&amp;" "&amp;FanduelExcel!E228</f>
        <v>Arron Afflalo</v>
      </c>
      <c r="C227" s="40">
        <f>FanduelExcel!H228</f>
        <v>3500</v>
      </c>
      <c r="D227" s="40">
        <f>FanduelExcel!L228</f>
        <v>0</v>
      </c>
    </row>
    <row r="228" spans="1:4" x14ac:dyDescent="0.25">
      <c r="A228" s="40" t="str">
        <f>FanduelExcel!B229</f>
        <v>SF</v>
      </c>
      <c r="B228" s="40" t="str">
        <f>FanduelExcel!C229&amp;" "&amp;FanduelExcel!E229</f>
        <v>Kelly Oubre Jr.</v>
      </c>
      <c r="C228" s="40">
        <f>FanduelExcel!H229</f>
        <v>3500</v>
      </c>
      <c r="D228" s="40">
        <f>FanduelExcel!L229</f>
        <v>0</v>
      </c>
    </row>
    <row r="229" spans="1:4" x14ac:dyDescent="0.25">
      <c r="A229" s="40" t="str">
        <f>FanduelExcel!B230</f>
        <v>SG</v>
      </c>
      <c r="B229" s="40" t="str">
        <f>FanduelExcel!C230&amp;" "&amp;FanduelExcel!E230</f>
        <v>Rodney Stuckey</v>
      </c>
      <c r="C229" s="40">
        <f>FanduelExcel!H230</f>
        <v>3500</v>
      </c>
      <c r="D229" s="40">
        <f>FanduelExcel!L230</f>
        <v>0</v>
      </c>
    </row>
    <row r="230" spans="1:4" x14ac:dyDescent="0.25">
      <c r="A230" s="40" t="str">
        <f>FanduelExcel!B231</f>
        <v>PG</v>
      </c>
      <c r="B230" s="40" t="str">
        <f>FanduelExcel!C231&amp;" "&amp;FanduelExcel!E231</f>
        <v>Malcolm Delaney</v>
      </c>
      <c r="C230" s="40">
        <f>FanduelExcel!H231</f>
        <v>3500</v>
      </c>
      <c r="D230" s="40">
        <f>FanduelExcel!L231</f>
        <v>0</v>
      </c>
    </row>
    <row r="231" spans="1:4" x14ac:dyDescent="0.25">
      <c r="A231" s="40" t="str">
        <f>FanduelExcel!B232</f>
        <v>C</v>
      </c>
      <c r="B231" s="40" t="str">
        <f>FanduelExcel!C232&amp;" "&amp;FanduelExcel!E232</f>
        <v>Willie Reed</v>
      </c>
      <c r="C231" s="40">
        <f>FanduelExcel!H232</f>
        <v>3500</v>
      </c>
      <c r="D231" s="40">
        <f>FanduelExcel!L232</f>
        <v>0</v>
      </c>
    </row>
    <row r="232" spans="1:4" x14ac:dyDescent="0.25">
      <c r="A232" s="40" t="str">
        <f>FanduelExcel!B233</f>
        <v>PG</v>
      </c>
      <c r="B232" s="40" t="str">
        <f>FanduelExcel!C233&amp;" "&amp;FanduelExcel!E233</f>
        <v>Aaron Brooks</v>
      </c>
      <c r="C232" s="40">
        <f>FanduelExcel!H233</f>
        <v>3500</v>
      </c>
      <c r="D232" s="40">
        <f>FanduelExcel!L233</f>
        <v>0</v>
      </c>
    </row>
    <row r="233" spans="1:4" x14ac:dyDescent="0.25">
      <c r="A233" s="40" t="str">
        <f>FanduelExcel!B234</f>
        <v>PF</v>
      </c>
      <c r="B233" s="40" t="str">
        <f>FanduelExcel!C234&amp;" "&amp;FanduelExcel!E234</f>
        <v>Andrew Nicholson</v>
      </c>
      <c r="C233" s="40">
        <f>FanduelExcel!H234</f>
        <v>3500</v>
      </c>
      <c r="D233" s="40">
        <f>FanduelExcel!L234</f>
        <v>0</v>
      </c>
    </row>
    <row r="234" spans="1:4" x14ac:dyDescent="0.25">
      <c r="A234" s="40" t="str">
        <f>FanduelExcel!B235</f>
        <v>SG</v>
      </c>
      <c r="B234" s="40" t="str">
        <f>FanduelExcel!C235&amp;" "&amp;FanduelExcel!E235</f>
        <v>Troy Daniels</v>
      </c>
      <c r="C234" s="40">
        <f>FanduelExcel!H235</f>
        <v>3500</v>
      </c>
      <c r="D234" s="40">
        <f>FanduelExcel!L235</f>
        <v>0</v>
      </c>
    </row>
    <row r="235" spans="1:4" x14ac:dyDescent="0.25">
      <c r="A235" s="40" t="str">
        <f>FanduelExcel!B236</f>
        <v>PF</v>
      </c>
      <c r="B235" s="40" t="str">
        <f>FanduelExcel!C236&amp;" "&amp;FanduelExcel!E236</f>
        <v>Luis Scola</v>
      </c>
      <c r="C235" s="40">
        <f>FanduelExcel!H236</f>
        <v>3500</v>
      </c>
      <c r="D235" s="40">
        <f>FanduelExcel!L236</f>
        <v>0</v>
      </c>
    </row>
    <row r="236" spans="1:4" x14ac:dyDescent="0.25">
      <c r="A236" s="40" t="str">
        <f>FanduelExcel!B237</f>
        <v>C</v>
      </c>
      <c r="B236" s="40" t="str">
        <f>FanduelExcel!C237&amp;" "&amp;FanduelExcel!E237</f>
        <v>Rakeem Christmas</v>
      </c>
      <c r="C236" s="40">
        <f>FanduelExcel!H237</f>
        <v>3500</v>
      </c>
      <c r="D236" s="40">
        <f>FanduelExcel!L237</f>
        <v>0</v>
      </c>
    </row>
    <row r="237" spans="1:4" x14ac:dyDescent="0.25">
      <c r="A237" s="40" t="str">
        <f>FanduelExcel!B238</f>
        <v>SF</v>
      </c>
      <c r="B237" s="40" t="str">
        <f>FanduelExcel!C238&amp;" "&amp;FanduelExcel!E238</f>
        <v>Mike Dunleavy</v>
      </c>
      <c r="C237" s="40">
        <f>FanduelExcel!H238</f>
        <v>3500</v>
      </c>
      <c r="D237" s="40">
        <f>FanduelExcel!L238</f>
        <v>0</v>
      </c>
    </row>
    <row r="238" spans="1:4" x14ac:dyDescent="0.25">
      <c r="A238" s="40" t="str">
        <f>FanduelExcel!B239</f>
        <v>SG</v>
      </c>
      <c r="B238" s="40" t="str">
        <f>FanduelExcel!C239&amp;" "&amp;FanduelExcel!E239</f>
        <v>Langston Galloway</v>
      </c>
      <c r="C238" s="40">
        <f>FanduelExcel!H239</f>
        <v>3500</v>
      </c>
      <c r="D238" s="40">
        <f>FanduelExcel!L239</f>
        <v>0</v>
      </c>
    </row>
    <row r="239" spans="1:4" x14ac:dyDescent="0.25">
      <c r="A239" s="40" t="str">
        <f>FanduelExcel!B240</f>
        <v>SF</v>
      </c>
      <c r="B239" s="40" t="str">
        <f>FanduelExcel!C240&amp;" "&amp;FanduelExcel!E240</f>
        <v>Doug McDermott</v>
      </c>
      <c r="C239" s="40">
        <f>FanduelExcel!H240</f>
        <v>3500</v>
      </c>
      <c r="D239" s="40">
        <f>FanduelExcel!L240</f>
        <v>0</v>
      </c>
    </row>
    <row r="240" spans="1:4" x14ac:dyDescent="0.25">
      <c r="A240" s="40" t="str">
        <f>FanduelExcel!B241</f>
        <v>C</v>
      </c>
      <c r="B240" s="40" t="str">
        <f>FanduelExcel!C241&amp;" "&amp;FanduelExcel!E241</f>
        <v>Roy Hibbert</v>
      </c>
      <c r="C240" s="40">
        <f>FanduelExcel!H241</f>
        <v>3500</v>
      </c>
      <c r="D240" s="40">
        <f>FanduelExcel!L241</f>
        <v>0</v>
      </c>
    </row>
    <row r="241" spans="1:4" x14ac:dyDescent="0.25">
      <c r="A241" s="40" t="str">
        <f>FanduelExcel!B242</f>
        <v>C</v>
      </c>
      <c r="B241" s="40" t="str">
        <f>FanduelExcel!C242&amp;" "&amp;FanduelExcel!E242</f>
        <v>Boban Marjanovic</v>
      </c>
      <c r="C241" s="40">
        <f>FanduelExcel!H242</f>
        <v>3500</v>
      </c>
      <c r="D241" s="40">
        <f>FanduelExcel!L242</f>
        <v>0</v>
      </c>
    </row>
    <row r="242" spans="1:4" x14ac:dyDescent="0.25">
      <c r="A242" s="40" t="str">
        <f>FanduelExcel!B243</f>
        <v>SG</v>
      </c>
      <c r="B242" s="40" t="str">
        <f>FanduelExcel!C243&amp;" "&amp;FanduelExcel!E243</f>
        <v>Ian Clark</v>
      </c>
      <c r="C242" s="40">
        <f>FanduelExcel!H243</f>
        <v>3500</v>
      </c>
      <c r="D242" s="40">
        <f>FanduelExcel!L243</f>
        <v>0</v>
      </c>
    </row>
    <row r="243" spans="1:4" x14ac:dyDescent="0.25">
      <c r="A243" s="40" t="str">
        <f>FanduelExcel!B244</f>
        <v>SG</v>
      </c>
      <c r="B243" s="40" t="str">
        <f>FanduelExcel!C244&amp;" "&amp;FanduelExcel!E244</f>
        <v>Sasha Vujacic</v>
      </c>
      <c r="C243" s="40">
        <f>FanduelExcel!H244</f>
        <v>3500</v>
      </c>
      <c r="D243" s="40">
        <f>FanduelExcel!L244</f>
        <v>0</v>
      </c>
    </row>
    <row r="244" spans="1:4" x14ac:dyDescent="0.25">
      <c r="A244" s="40" t="str">
        <f>FanduelExcel!B245</f>
        <v>SF</v>
      </c>
      <c r="B244" s="40" t="str">
        <f>FanduelExcel!C245&amp;" "&amp;FanduelExcel!E245</f>
        <v>Metta World Peace</v>
      </c>
      <c r="C244" s="40">
        <f>FanduelExcel!H245</f>
        <v>3500</v>
      </c>
      <c r="D244" s="40">
        <f>FanduelExcel!L245</f>
        <v>0</v>
      </c>
    </row>
    <row r="245" spans="1:4" x14ac:dyDescent="0.25">
      <c r="A245" s="40" t="str">
        <f>FanduelExcel!B246</f>
        <v>PF</v>
      </c>
      <c r="B245" s="40" t="str">
        <f>FanduelExcel!C246&amp;" "&amp;FanduelExcel!E246</f>
        <v>Thomas Robinson</v>
      </c>
      <c r="C245" s="40">
        <f>FanduelExcel!H246</f>
        <v>3500</v>
      </c>
      <c r="D245" s="40">
        <f>FanduelExcel!L246</f>
        <v>0</v>
      </c>
    </row>
    <row r="246" spans="1:4" x14ac:dyDescent="0.25">
      <c r="A246" s="40" t="str">
        <f>FanduelExcel!B247</f>
        <v>PF</v>
      </c>
      <c r="B246" s="40" t="str">
        <f>FanduelExcel!C247&amp;" "&amp;FanduelExcel!E247</f>
        <v>Jarell Martin</v>
      </c>
      <c r="C246" s="40">
        <f>FanduelExcel!H247</f>
        <v>3500</v>
      </c>
      <c r="D246" s="40">
        <f>FanduelExcel!L247</f>
        <v>0</v>
      </c>
    </row>
    <row r="247" spans="1:4" x14ac:dyDescent="0.25">
      <c r="A247" s="40" t="str">
        <f>FanduelExcel!B248</f>
        <v>PF</v>
      </c>
      <c r="B247" s="40" t="str">
        <f>FanduelExcel!C248&amp;" "&amp;FanduelExcel!E248</f>
        <v>Udonis Haslem</v>
      </c>
      <c r="C247" s="40">
        <f>FanduelExcel!H248</f>
        <v>3500</v>
      </c>
      <c r="D247" s="40">
        <f>FanduelExcel!L248</f>
        <v>0</v>
      </c>
    </row>
    <row r="248" spans="1:4" x14ac:dyDescent="0.25">
      <c r="A248" s="40" t="str">
        <f>FanduelExcel!B249</f>
        <v>SG</v>
      </c>
      <c r="B248" s="40" t="str">
        <f>FanduelExcel!C249&amp;" "&amp;FanduelExcel!E249</f>
        <v>Sheldon McClellan</v>
      </c>
      <c r="C248" s="40">
        <f>FanduelExcel!H249</f>
        <v>3500</v>
      </c>
      <c r="D248" s="40">
        <f>FanduelExcel!L249</f>
        <v>0</v>
      </c>
    </row>
    <row r="249" spans="1:4" x14ac:dyDescent="0.25">
      <c r="A249" s="40" t="str">
        <f>FanduelExcel!B250</f>
        <v>SF</v>
      </c>
      <c r="B249" s="40" t="str">
        <f>FanduelExcel!C250&amp;" "&amp;FanduelExcel!E250</f>
        <v>Jonathon Simmons</v>
      </c>
      <c r="C249" s="40">
        <f>FanduelExcel!H250</f>
        <v>3500</v>
      </c>
      <c r="D249" s="40">
        <f>FanduelExcel!L250</f>
        <v>0</v>
      </c>
    </row>
    <row r="250" spans="1:4" x14ac:dyDescent="0.25">
      <c r="A250" s="40" t="str">
        <f>FanduelExcel!B251</f>
        <v>PG</v>
      </c>
      <c r="B250" s="40" t="str">
        <f>FanduelExcel!C251&amp;" "&amp;FanduelExcel!E251</f>
        <v>Isaiah Whitehead</v>
      </c>
      <c r="C250" s="40">
        <f>FanduelExcel!H251</f>
        <v>3500</v>
      </c>
      <c r="D250" s="40">
        <f>FanduelExcel!L251</f>
        <v>0</v>
      </c>
    </row>
    <row r="251" spans="1:4" x14ac:dyDescent="0.25">
      <c r="A251" s="40" t="str">
        <f>FanduelExcel!B252</f>
        <v>SG</v>
      </c>
      <c r="B251" s="40" t="str">
        <f>FanduelExcel!C252&amp;" "&amp;FanduelExcel!E252</f>
        <v>Joe Young</v>
      </c>
      <c r="C251" s="40">
        <f>FanduelExcel!H252</f>
        <v>3500</v>
      </c>
      <c r="D251" s="40">
        <f>FanduelExcel!L252</f>
        <v>0</v>
      </c>
    </row>
    <row r="252" spans="1:4" x14ac:dyDescent="0.25">
      <c r="A252" s="40" t="str">
        <f>FanduelExcel!B253</f>
        <v>PF</v>
      </c>
      <c r="B252" s="40" t="str">
        <f>FanduelExcel!C253&amp;" "&amp;FanduelExcel!E253</f>
        <v>Henry Ellenson</v>
      </c>
      <c r="C252" s="40">
        <f>FanduelExcel!H253</f>
        <v>3500</v>
      </c>
      <c r="D252" s="40">
        <f>FanduelExcel!L253</f>
        <v>0</v>
      </c>
    </row>
    <row r="253" spans="1:4" x14ac:dyDescent="0.25">
      <c r="A253" s="40" t="str">
        <f>FanduelExcel!B254</f>
        <v>SF</v>
      </c>
      <c r="B253" s="40" t="str">
        <f>FanduelExcel!C254&amp;" "&amp;FanduelExcel!E254</f>
        <v>Derrick Jones Jr.</v>
      </c>
      <c r="C253" s="40">
        <f>FanduelExcel!H254</f>
        <v>3500</v>
      </c>
      <c r="D253" s="40">
        <f>FanduelExcel!L254</f>
        <v>0</v>
      </c>
    </row>
    <row r="254" spans="1:4" x14ac:dyDescent="0.25">
      <c r="A254" s="40" t="str">
        <f>FanduelExcel!B255</f>
        <v>PF</v>
      </c>
      <c r="B254" s="40" t="str">
        <f>FanduelExcel!C255&amp;" "&amp;FanduelExcel!E255</f>
        <v>David West</v>
      </c>
      <c r="C254" s="40">
        <f>FanduelExcel!H255</f>
        <v>3500</v>
      </c>
      <c r="D254" s="40" t="str">
        <f>FanduelExcel!L255</f>
        <v>O</v>
      </c>
    </row>
    <row r="255" spans="1:4" x14ac:dyDescent="0.25">
      <c r="A255" s="40" t="str">
        <f>FanduelExcel!B256</f>
        <v>PG</v>
      </c>
      <c r="B255" s="40" t="str">
        <f>FanduelExcel!C256&amp;" "&amp;FanduelExcel!E256</f>
        <v>Nicolas Laprovittola</v>
      </c>
      <c r="C255" s="40">
        <f>FanduelExcel!H256</f>
        <v>3500</v>
      </c>
      <c r="D255" s="40">
        <f>FanduelExcel!L256</f>
        <v>0</v>
      </c>
    </row>
    <row r="256" spans="1:4" x14ac:dyDescent="0.25">
      <c r="A256" s="40" t="str">
        <f>FanduelExcel!B257</f>
        <v>SG</v>
      </c>
      <c r="B256" s="40" t="str">
        <f>FanduelExcel!C257&amp;" "&amp;FanduelExcel!E257</f>
        <v>Leandro Barbosa</v>
      </c>
      <c r="C256" s="40">
        <f>FanduelExcel!H257</f>
        <v>3500</v>
      </c>
      <c r="D256" s="40">
        <f>FanduelExcel!L257</f>
        <v>0</v>
      </c>
    </row>
    <row r="257" spans="1:4" x14ac:dyDescent="0.25">
      <c r="A257" s="40" t="str">
        <f>FanduelExcel!B258</f>
        <v>PG</v>
      </c>
      <c r="B257" s="40" t="str">
        <f>FanduelExcel!C258&amp;" "&amp;FanduelExcel!E258</f>
        <v>Marcelo Huertas</v>
      </c>
      <c r="C257" s="40">
        <f>FanduelExcel!H258</f>
        <v>3500</v>
      </c>
      <c r="D257" s="40">
        <f>FanduelExcel!L258</f>
        <v>0</v>
      </c>
    </row>
    <row r="258" spans="1:4" x14ac:dyDescent="0.25">
      <c r="A258" s="40" t="str">
        <f>FanduelExcel!B259</f>
        <v>SF</v>
      </c>
      <c r="B258" s="40" t="str">
        <f>FanduelExcel!C259&amp;" "&amp;FanduelExcel!E259</f>
        <v>Lance Thomas</v>
      </c>
      <c r="C258" s="40">
        <f>FanduelExcel!H259</f>
        <v>3500</v>
      </c>
      <c r="D258" s="40" t="str">
        <f>FanduelExcel!L259</f>
        <v>GTD</v>
      </c>
    </row>
    <row r="259" spans="1:4" x14ac:dyDescent="0.25">
      <c r="A259" s="40" t="str">
        <f>FanduelExcel!B260</f>
        <v>SG</v>
      </c>
      <c r="B259" s="40" t="str">
        <f>FanduelExcel!C260&amp;" "&amp;FanduelExcel!E260</f>
        <v>Darrun Hilliard</v>
      </c>
      <c r="C259" s="40">
        <f>FanduelExcel!H260</f>
        <v>3500</v>
      </c>
      <c r="D259" s="40">
        <f>FanduelExcel!L260</f>
        <v>0</v>
      </c>
    </row>
    <row r="260" spans="1:4" x14ac:dyDescent="0.25">
      <c r="A260" s="40" t="str">
        <f>FanduelExcel!B261</f>
        <v>PG</v>
      </c>
      <c r="B260" s="40" t="str">
        <f>FanduelExcel!C261&amp;" "&amp;FanduelExcel!E261</f>
        <v>Beno Udrih</v>
      </c>
      <c r="C260" s="40">
        <f>FanduelExcel!H261</f>
        <v>3500</v>
      </c>
      <c r="D260" s="40">
        <f>FanduelExcel!L261</f>
        <v>0</v>
      </c>
    </row>
    <row r="261" spans="1:4" x14ac:dyDescent="0.25">
      <c r="A261" s="40" t="str">
        <f>FanduelExcel!B262</f>
        <v>SG</v>
      </c>
      <c r="B261" s="40" t="str">
        <f>FanduelExcel!C262&amp;" "&amp;FanduelExcel!E262</f>
        <v>Denzel Valentine</v>
      </c>
      <c r="C261" s="40">
        <f>FanduelExcel!H262</f>
        <v>3500</v>
      </c>
      <c r="D261" s="40">
        <f>FanduelExcel!L262</f>
        <v>0</v>
      </c>
    </row>
    <row r="262" spans="1:4" x14ac:dyDescent="0.25">
      <c r="A262" s="40" t="str">
        <f>FanduelExcel!B263</f>
        <v>PG</v>
      </c>
      <c r="B262" s="40" t="str">
        <f>FanduelExcel!C263&amp;" "&amp;FanduelExcel!E263</f>
        <v>Trey Burke</v>
      </c>
      <c r="C262" s="40">
        <f>FanduelExcel!H263</f>
        <v>3500</v>
      </c>
      <c r="D262" s="40">
        <f>FanduelExcel!L263</f>
        <v>0</v>
      </c>
    </row>
    <row r="263" spans="1:4" x14ac:dyDescent="0.25">
      <c r="A263" s="40" t="str">
        <f>FanduelExcel!B264</f>
        <v>PF</v>
      </c>
      <c r="B263" s="40" t="str">
        <f>FanduelExcel!C264&amp;" "&amp;FanduelExcel!E264</f>
        <v>Mike Muscala</v>
      </c>
      <c r="C263" s="40">
        <f>FanduelExcel!H264</f>
        <v>3500</v>
      </c>
      <c r="D263" s="40">
        <f>FanduelExcel!L264</f>
        <v>0</v>
      </c>
    </row>
    <row r="264" spans="1:4" x14ac:dyDescent="0.25">
      <c r="A264" s="40" t="str">
        <f>FanduelExcel!B265</f>
        <v>SG</v>
      </c>
      <c r="B264" s="40" t="str">
        <f>FanduelExcel!C265&amp;" "&amp;FanduelExcel!E265</f>
        <v>Manu Ginobili</v>
      </c>
      <c r="C264" s="40">
        <f>FanduelExcel!H265</f>
        <v>3500</v>
      </c>
      <c r="D264" s="40">
        <f>FanduelExcel!L265</f>
        <v>0</v>
      </c>
    </row>
    <row r="265" spans="1:4" x14ac:dyDescent="0.25">
      <c r="A265" s="40" t="str">
        <f>FanduelExcel!B266</f>
        <v>SG</v>
      </c>
      <c r="B265" s="40" t="str">
        <f>FanduelExcel!C266&amp;" "&amp;FanduelExcel!E266</f>
        <v>Joe Harris</v>
      </c>
      <c r="C265" s="40">
        <f>FanduelExcel!H266</f>
        <v>3500</v>
      </c>
      <c r="D265" s="40">
        <f>FanduelExcel!L266</f>
        <v>0</v>
      </c>
    </row>
    <row r="266" spans="1:4" x14ac:dyDescent="0.25">
      <c r="A266" s="40" t="str">
        <f>FanduelExcel!B267</f>
        <v>SF</v>
      </c>
      <c r="B266" s="40" t="str">
        <f>FanduelExcel!C267&amp;" "&amp;FanduelExcel!E267</f>
        <v>Stanley Johnson</v>
      </c>
      <c r="C266" s="40">
        <f>FanduelExcel!H267</f>
        <v>3500</v>
      </c>
      <c r="D266" s="40">
        <f>FanduelExcel!L267</f>
        <v>0</v>
      </c>
    </row>
    <row r="267" spans="1:4" x14ac:dyDescent="0.25">
      <c r="A267" s="40" t="str">
        <f>FanduelExcel!B268</f>
        <v>PG</v>
      </c>
      <c r="B267" s="40" t="str">
        <f>FanduelExcel!C268&amp;" "&amp;FanduelExcel!E268</f>
        <v>Jose Calderon</v>
      </c>
      <c r="C267" s="40">
        <f>FanduelExcel!H268</f>
        <v>3500</v>
      </c>
      <c r="D267" s="40">
        <f>FanduelExcel!L268</f>
        <v>0</v>
      </c>
    </row>
    <row r="268" spans="1:4" x14ac:dyDescent="0.25">
      <c r="A268" s="40" t="str">
        <f>FanduelExcel!B269</f>
        <v>SF</v>
      </c>
      <c r="B268" s="40" t="str">
        <f>FanduelExcel!C269&amp;" "&amp;FanduelExcel!E269</f>
        <v>Mike Scott</v>
      </c>
      <c r="C268" s="40">
        <f>FanduelExcel!H269</f>
        <v>3500</v>
      </c>
      <c r="D268" s="40">
        <f>FanduelExcel!L269</f>
        <v>0</v>
      </c>
    </row>
    <row r="269" spans="1:4" x14ac:dyDescent="0.25">
      <c r="A269" s="40" t="str">
        <f>FanduelExcel!B270</f>
        <v>C</v>
      </c>
      <c r="B269" s="40" t="str">
        <f>FanduelExcel!C270&amp;" "&amp;FanduelExcel!E270</f>
        <v>Cristiano Felicio</v>
      </c>
      <c r="C269" s="40">
        <f>FanduelExcel!H270</f>
        <v>3500</v>
      </c>
      <c r="D269" s="40">
        <f>FanduelExcel!L270</f>
        <v>0</v>
      </c>
    </row>
    <row r="270" spans="1:4" x14ac:dyDescent="0.25">
      <c r="A270" s="40" t="str">
        <f>FanduelExcel!B271</f>
        <v>PF</v>
      </c>
      <c r="B270" s="40" t="str">
        <f>FanduelExcel!C271&amp;" "&amp;FanduelExcel!E271</f>
        <v>Adreian Payne</v>
      </c>
      <c r="C270" s="40">
        <f>FanduelExcel!H271</f>
        <v>3500</v>
      </c>
      <c r="D270" s="40" t="str">
        <f>FanduelExcel!L271</f>
        <v>O</v>
      </c>
    </row>
    <row r="271" spans="1:4" x14ac:dyDescent="0.25">
      <c r="A271" s="40" t="str">
        <f>FanduelExcel!B272</f>
        <v>SG</v>
      </c>
      <c r="B271" s="40" t="str">
        <f>FanduelExcel!C272&amp;" "&amp;FanduelExcel!E272</f>
        <v>Alan Anderson</v>
      </c>
      <c r="C271" s="40">
        <f>FanduelExcel!H272</f>
        <v>3500</v>
      </c>
      <c r="D271" s="40">
        <f>FanduelExcel!L272</f>
        <v>0</v>
      </c>
    </row>
    <row r="272" spans="1:4" x14ac:dyDescent="0.25">
      <c r="A272" s="40" t="str">
        <f>FanduelExcel!B273</f>
        <v>PF</v>
      </c>
      <c r="B272" s="40" t="str">
        <f>FanduelExcel!C273&amp;" "&amp;FanduelExcel!E273</f>
        <v>Dragan Bender</v>
      </c>
      <c r="C272" s="40">
        <f>FanduelExcel!H273</f>
        <v>3500</v>
      </c>
      <c r="D272" s="40" t="str">
        <f>FanduelExcel!L273</f>
        <v>O</v>
      </c>
    </row>
    <row r="273" spans="1:4" x14ac:dyDescent="0.25">
      <c r="A273" s="40" t="str">
        <f>FanduelExcel!B274</f>
        <v>SF</v>
      </c>
      <c r="B273" s="40" t="str">
        <f>FanduelExcel!C274&amp;" "&amp;FanduelExcel!E274</f>
        <v>Kyle Anderson</v>
      </c>
      <c r="C273" s="40">
        <f>FanduelExcel!H274</f>
        <v>3500</v>
      </c>
      <c r="D273" s="40">
        <f>FanduelExcel!L274</f>
        <v>0</v>
      </c>
    </row>
    <row r="274" spans="1:4" x14ac:dyDescent="0.25">
      <c r="A274" s="40" t="str">
        <f>FanduelExcel!B275</f>
        <v>C</v>
      </c>
      <c r="B274" s="40" t="str">
        <f>FanduelExcel!C275&amp;" "&amp;FanduelExcel!E275</f>
        <v>Georgios Papagiannis</v>
      </c>
      <c r="C274" s="40">
        <f>FanduelExcel!H275</f>
        <v>3500</v>
      </c>
      <c r="D274" s="40">
        <f>FanduelExcel!L275</f>
        <v>0</v>
      </c>
    </row>
    <row r="275" spans="1:4" x14ac:dyDescent="0.25">
      <c r="A275" s="40" t="str">
        <f>FanduelExcel!B276</f>
        <v>PF</v>
      </c>
      <c r="B275" s="40" t="str">
        <f>FanduelExcel!C276&amp;" "&amp;FanduelExcel!E276</f>
        <v>Thon Maker</v>
      </c>
      <c r="C275" s="40">
        <f>FanduelExcel!H276</f>
        <v>3500</v>
      </c>
      <c r="D275" s="40">
        <f>FanduelExcel!L276</f>
        <v>0</v>
      </c>
    </row>
    <row r="276" spans="1:4" x14ac:dyDescent="0.25">
      <c r="A276" s="40" t="str">
        <f>FanduelExcel!B277</f>
        <v>SG</v>
      </c>
      <c r="B276" s="40" t="str">
        <f>FanduelExcel!C277&amp;" "&amp;FanduelExcel!E277</f>
        <v>Timothe Luwawu-Cabarrot</v>
      </c>
      <c r="C276" s="40">
        <f>FanduelExcel!H277</f>
        <v>3500</v>
      </c>
      <c r="D276" s="40">
        <f>FanduelExcel!L277</f>
        <v>0</v>
      </c>
    </row>
    <row r="277" spans="1:4" x14ac:dyDescent="0.25">
      <c r="A277" s="40" t="str">
        <f>FanduelExcel!B278</f>
        <v>SG</v>
      </c>
      <c r="B277" s="40" t="str">
        <f>FanduelExcel!C278&amp;" "&amp;FanduelExcel!E278</f>
        <v>Brandon Knight</v>
      </c>
      <c r="C277" s="40">
        <f>FanduelExcel!H278</f>
        <v>3500</v>
      </c>
      <c r="D277" s="40">
        <f>FanduelExcel!L278</f>
        <v>0</v>
      </c>
    </row>
    <row r="278" spans="1:4" x14ac:dyDescent="0.25">
      <c r="A278" s="40" t="str">
        <f>FanduelExcel!B279</f>
        <v>SG</v>
      </c>
      <c r="B278" s="40" t="str">
        <f>FanduelExcel!C279&amp;" "&amp;FanduelExcel!E279</f>
        <v>K.J. McDaniels</v>
      </c>
      <c r="C278" s="40">
        <f>FanduelExcel!H279</f>
        <v>3500</v>
      </c>
      <c r="D278" s="40">
        <f>FanduelExcel!L279</f>
        <v>0</v>
      </c>
    </row>
    <row r="279" spans="1:4" x14ac:dyDescent="0.25">
      <c r="A279" s="40" t="str">
        <f>FanduelExcel!B280</f>
        <v>SG</v>
      </c>
      <c r="B279" s="40" t="str">
        <f>FanduelExcel!C280&amp;" "&amp;FanduelExcel!E280</f>
        <v>Alec Burks</v>
      </c>
      <c r="C279" s="40">
        <f>FanduelExcel!H280</f>
        <v>3500</v>
      </c>
      <c r="D279" s="40">
        <f>FanduelExcel!L280</f>
        <v>0</v>
      </c>
    </row>
    <row r="280" spans="1:4" x14ac:dyDescent="0.25">
      <c r="A280" s="40" t="str">
        <f>FanduelExcel!B281</f>
        <v>PF</v>
      </c>
      <c r="B280" s="40" t="str">
        <f>FanduelExcel!C281&amp;" "&amp;FanduelExcel!E281</f>
        <v>Donatas Motiejunas</v>
      </c>
      <c r="C280" s="40">
        <f>FanduelExcel!H281</f>
        <v>3500</v>
      </c>
      <c r="D280" s="40">
        <f>FanduelExcel!L281</f>
        <v>0</v>
      </c>
    </row>
    <row r="281" spans="1:4" x14ac:dyDescent="0.25">
      <c r="A281" s="40" t="str">
        <f>FanduelExcel!B282</f>
        <v>SF</v>
      </c>
      <c r="B281" s="40" t="str">
        <f>FanduelExcel!C282&amp;" "&amp;FanduelExcel!E282</f>
        <v>DeAndre' Bembry</v>
      </c>
      <c r="C281" s="40">
        <f>FanduelExcel!H282</f>
        <v>3500</v>
      </c>
      <c r="D281" s="40">
        <f>FanduelExcel!L282</f>
        <v>0</v>
      </c>
    </row>
    <row r="282" spans="1:4" x14ac:dyDescent="0.25">
      <c r="A282" s="40" t="str">
        <f>FanduelExcel!B283</f>
        <v>SF</v>
      </c>
      <c r="B282" s="40" t="str">
        <f>FanduelExcel!C283&amp;" "&amp;FanduelExcel!E283</f>
        <v>Justin Anderson</v>
      </c>
      <c r="C282" s="40">
        <f>FanduelExcel!H283</f>
        <v>3500</v>
      </c>
      <c r="D282" s="40">
        <f>FanduelExcel!L283</f>
        <v>0</v>
      </c>
    </row>
    <row r="283" spans="1:4" x14ac:dyDescent="0.25">
      <c r="A283" s="40" t="str">
        <f>FanduelExcel!B284</f>
        <v>PG</v>
      </c>
      <c r="B283" s="40" t="str">
        <f>FanduelExcel!C284&amp;" "&amp;FanduelExcel!E284</f>
        <v>Cory Joseph</v>
      </c>
      <c r="C283" s="40">
        <f>FanduelExcel!H284</f>
        <v>3500</v>
      </c>
      <c r="D283" s="40">
        <f>FanduelExcel!L284</f>
        <v>0</v>
      </c>
    </row>
    <row r="284" spans="1:4" x14ac:dyDescent="0.25">
      <c r="A284" s="40" t="str">
        <f>FanduelExcel!B285</f>
        <v>SF</v>
      </c>
      <c r="B284" s="40" t="str">
        <f>FanduelExcel!C285&amp;" "&amp;FanduelExcel!E285</f>
        <v>Kyle Singler</v>
      </c>
      <c r="C284" s="40">
        <f>FanduelExcel!H285</f>
        <v>3500</v>
      </c>
      <c r="D284" s="40">
        <f>FanduelExcel!L285</f>
        <v>0</v>
      </c>
    </row>
    <row r="285" spans="1:4" x14ac:dyDescent="0.25">
      <c r="A285" s="40" t="str">
        <f>FanduelExcel!B286</f>
        <v>PG</v>
      </c>
      <c r="B285" s="40" t="str">
        <f>FanduelExcel!C286&amp;" "&amp;FanduelExcel!E286</f>
        <v>Shelvin Mack</v>
      </c>
      <c r="C285" s="40">
        <f>FanduelExcel!H286</f>
        <v>3500</v>
      </c>
      <c r="D285" s="40">
        <f>FanduelExcel!L286</f>
        <v>0</v>
      </c>
    </row>
    <row r="286" spans="1:4" x14ac:dyDescent="0.25">
      <c r="A286" s="40" t="str">
        <f>FanduelExcel!B287</f>
        <v>C</v>
      </c>
      <c r="B286" s="40" t="str">
        <f>FanduelExcel!C287&amp;" "&amp;FanduelExcel!E287</f>
        <v>Mike Tobey</v>
      </c>
      <c r="C286" s="40">
        <f>FanduelExcel!H287</f>
        <v>3500</v>
      </c>
      <c r="D286" s="40">
        <f>FanduelExcel!L287</f>
        <v>0</v>
      </c>
    </row>
    <row r="287" spans="1:4" x14ac:dyDescent="0.25">
      <c r="A287" s="40" t="str">
        <f>FanduelExcel!B288</f>
        <v>PG</v>
      </c>
      <c r="B287" s="40" t="str">
        <f>FanduelExcel!C288&amp;" "&amp;FanduelExcel!E288</f>
        <v>Ron Baker</v>
      </c>
      <c r="C287" s="40">
        <f>FanduelExcel!H288</f>
        <v>3500</v>
      </c>
      <c r="D287" s="40">
        <f>FanduelExcel!L288</f>
        <v>0</v>
      </c>
    </row>
    <row r="288" spans="1:4" x14ac:dyDescent="0.25">
      <c r="A288" s="40" t="str">
        <f>FanduelExcel!B289</f>
        <v>PG</v>
      </c>
      <c r="B288" s="40" t="str">
        <f>FanduelExcel!C289&amp;" "&amp;FanduelExcel!E289</f>
        <v>Shabazz Napier</v>
      </c>
      <c r="C288" s="40">
        <f>FanduelExcel!H289</f>
        <v>3500</v>
      </c>
      <c r="D288" s="40">
        <f>FanduelExcel!L289</f>
        <v>0</v>
      </c>
    </row>
    <row r="289" spans="1:4" x14ac:dyDescent="0.25">
      <c r="A289" s="40" t="str">
        <f>FanduelExcel!B290</f>
        <v>PG</v>
      </c>
      <c r="B289" s="40" t="str">
        <f>FanduelExcel!C290&amp;" "&amp;FanduelExcel!E290</f>
        <v>Brian Roberts</v>
      </c>
      <c r="C289" s="40">
        <f>FanduelExcel!H290</f>
        <v>3500</v>
      </c>
      <c r="D289" s="40">
        <f>FanduelExcel!L290</f>
        <v>0</v>
      </c>
    </row>
    <row r="290" spans="1:4" x14ac:dyDescent="0.25">
      <c r="A290" s="40" t="str">
        <f>FanduelExcel!B291</f>
        <v>SF</v>
      </c>
      <c r="B290" s="40" t="str">
        <f>FanduelExcel!C291&amp;" "&amp;FanduelExcel!E291</f>
        <v>Davis Bertans</v>
      </c>
      <c r="C290" s="40">
        <f>FanduelExcel!H291</f>
        <v>3500</v>
      </c>
      <c r="D290" s="40">
        <f>FanduelExcel!L291</f>
        <v>0</v>
      </c>
    </row>
    <row r="291" spans="1:4" x14ac:dyDescent="0.25">
      <c r="A291" s="40" t="str">
        <f>FanduelExcel!B292</f>
        <v>PF</v>
      </c>
      <c r="B291" s="40" t="str">
        <f>FanduelExcel!C292&amp;" "&amp;FanduelExcel!E292</f>
        <v>Kevon Looney</v>
      </c>
      <c r="C291" s="40">
        <f>FanduelExcel!H292</f>
        <v>3500</v>
      </c>
      <c r="D291" s="40">
        <f>FanduelExcel!L292</f>
        <v>0</v>
      </c>
    </row>
    <row r="292" spans="1:4" x14ac:dyDescent="0.25">
      <c r="A292" s="40" t="str">
        <f>FanduelExcel!B293</f>
        <v>SG</v>
      </c>
      <c r="B292" s="40" t="str">
        <f>FanduelExcel!C293&amp;" "&amp;FanduelExcel!E293</f>
        <v>Justin Holiday</v>
      </c>
      <c r="C292" s="40">
        <f>FanduelExcel!H293</f>
        <v>3500</v>
      </c>
      <c r="D292" s="40">
        <f>FanduelExcel!L293</f>
        <v>0</v>
      </c>
    </row>
    <row r="293" spans="1:4" x14ac:dyDescent="0.25">
      <c r="A293" s="40" t="str">
        <f>FanduelExcel!B294</f>
        <v>SG</v>
      </c>
      <c r="B293" s="40" t="str">
        <f>FanduelExcel!C294&amp;" "&amp;FanduelExcel!E294</f>
        <v>Michael Gbinije</v>
      </c>
      <c r="C293" s="40">
        <f>FanduelExcel!H294</f>
        <v>3500</v>
      </c>
      <c r="D293" s="40">
        <f>FanduelExcel!L294</f>
        <v>0</v>
      </c>
    </row>
    <row r="294" spans="1:4" x14ac:dyDescent="0.25">
      <c r="A294" s="40" t="str">
        <f>FanduelExcel!B295</f>
        <v>SF</v>
      </c>
      <c r="B294" s="40" t="str">
        <f>FanduelExcel!C295&amp;" "&amp;FanduelExcel!E295</f>
        <v>Ryan Kelly</v>
      </c>
      <c r="C294" s="40">
        <f>FanduelExcel!H295</f>
        <v>3500</v>
      </c>
      <c r="D294" s="40">
        <f>FanduelExcel!L295</f>
        <v>0</v>
      </c>
    </row>
    <row r="295" spans="1:4" x14ac:dyDescent="0.25">
      <c r="A295" s="40" t="str">
        <f>FanduelExcel!B296</f>
        <v>PF</v>
      </c>
      <c r="B295" s="40" t="str">
        <f>FanduelExcel!C296&amp;" "&amp;FanduelExcel!E296</f>
        <v>Jake Layman</v>
      </c>
      <c r="C295" s="40">
        <f>FanduelExcel!H296</f>
        <v>3500</v>
      </c>
      <c r="D295" s="40">
        <f>FanduelExcel!L296</f>
        <v>0</v>
      </c>
    </row>
    <row r="296" spans="1:4" x14ac:dyDescent="0.25">
      <c r="A296" s="40" t="str">
        <f>FanduelExcel!B297</f>
        <v>C</v>
      </c>
      <c r="B296" s="40" t="str">
        <f>FanduelExcel!C297&amp;" "&amp;FanduelExcel!E297</f>
        <v>Marshall Plumlee</v>
      </c>
      <c r="C296" s="40">
        <f>FanduelExcel!H297</f>
        <v>3500</v>
      </c>
      <c r="D296" s="40">
        <f>FanduelExcel!L297</f>
        <v>0</v>
      </c>
    </row>
    <row r="297" spans="1:4" x14ac:dyDescent="0.25">
      <c r="A297" s="40" t="str">
        <f>FanduelExcel!B298</f>
        <v>C</v>
      </c>
      <c r="B297" s="40" t="str">
        <f>FanduelExcel!C298&amp;" "&amp;FanduelExcel!E298</f>
        <v>Miles Plumlee</v>
      </c>
      <c r="C297" s="40">
        <f>FanduelExcel!H298</f>
        <v>3500</v>
      </c>
      <c r="D297" s="40" t="str">
        <f>FanduelExcel!L298</f>
        <v>O</v>
      </c>
    </row>
    <row r="298" spans="1:4" x14ac:dyDescent="0.25">
      <c r="A298" s="40" t="str">
        <f>FanduelExcel!B299</f>
        <v>SG</v>
      </c>
      <c r="B298" s="40" t="str">
        <f>FanduelExcel!C299&amp;" "&amp;FanduelExcel!E299</f>
        <v>Bryn Forbes</v>
      </c>
      <c r="C298" s="40">
        <f>FanduelExcel!H299</f>
        <v>3500</v>
      </c>
      <c r="D298" s="40">
        <f>FanduelExcel!L299</f>
        <v>0</v>
      </c>
    </row>
    <row r="299" spans="1:4" x14ac:dyDescent="0.25">
      <c r="A299" s="40" t="str">
        <f>FanduelExcel!B300</f>
        <v>SF</v>
      </c>
      <c r="B299" s="40" t="str">
        <f>FanduelExcel!C300&amp;" "&amp;FanduelExcel!E300</f>
        <v>Paul Pierce</v>
      </c>
      <c r="C299" s="40">
        <f>FanduelExcel!H300</f>
        <v>3500</v>
      </c>
      <c r="D299" s="40">
        <f>FanduelExcel!L300</f>
        <v>0</v>
      </c>
    </row>
    <row r="300" spans="1:4" x14ac:dyDescent="0.25">
      <c r="A300" s="40" t="str">
        <f>FanduelExcel!B301</f>
        <v>SF</v>
      </c>
      <c r="B300" s="40" t="str">
        <f>FanduelExcel!C301&amp;" "&amp;FanduelExcel!E301</f>
        <v>Glenn Robinson III</v>
      </c>
      <c r="C300" s="40">
        <f>FanduelExcel!H301</f>
        <v>3500</v>
      </c>
      <c r="D300" s="40">
        <f>FanduelExcel!L301</f>
        <v>0</v>
      </c>
    </row>
    <row r="301" spans="1:4" x14ac:dyDescent="0.25">
      <c r="A301" s="40" t="str">
        <f>FanduelExcel!B302</f>
        <v>PG</v>
      </c>
      <c r="B301" s="40" t="str">
        <f>FanduelExcel!C302&amp;" "&amp;FanduelExcel!E302</f>
        <v>D.J. Augustin</v>
      </c>
      <c r="C301" s="40">
        <f>FanduelExcel!H302</f>
        <v>3500</v>
      </c>
      <c r="D301" s="40">
        <f>FanduelExcel!L302</f>
        <v>0</v>
      </c>
    </row>
    <row r="302" spans="1:4" x14ac:dyDescent="0.25">
      <c r="A302" s="40" t="str">
        <f>FanduelExcel!B303</f>
        <v>PG</v>
      </c>
      <c r="B302" s="40" t="str">
        <f>FanduelExcel!C303&amp;" "&amp;FanduelExcel!E303</f>
        <v>Kris Dunn</v>
      </c>
      <c r="C302" s="40">
        <f>FanduelExcel!H303</f>
        <v>3500</v>
      </c>
      <c r="D302" s="40">
        <f>FanduelExcel!L303</f>
        <v>0</v>
      </c>
    </row>
    <row r="303" spans="1:4" x14ac:dyDescent="0.25">
      <c r="A303" s="40" t="str">
        <f>FanduelExcel!B304</f>
        <v>PF</v>
      </c>
      <c r="B303" s="40" t="str">
        <f>FanduelExcel!C304&amp;" "&amp;FanduelExcel!E304</f>
        <v>Boris Diaw</v>
      </c>
      <c r="C303" s="40">
        <f>FanduelExcel!H304</f>
        <v>3500</v>
      </c>
      <c r="D303" s="40">
        <f>FanduelExcel!L304</f>
        <v>0</v>
      </c>
    </row>
    <row r="304" spans="1:4" x14ac:dyDescent="0.25">
      <c r="A304" s="40" t="str">
        <f>FanduelExcel!B305</f>
        <v>PF</v>
      </c>
      <c r="B304" s="40" t="str">
        <f>FanduelExcel!C305&amp;" "&amp;FanduelExcel!E305</f>
        <v>Okaro White</v>
      </c>
      <c r="C304" s="40">
        <f>FanduelExcel!H305</f>
        <v>3500</v>
      </c>
      <c r="D304" s="40">
        <f>FanduelExcel!L305</f>
        <v>0</v>
      </c>
    </row>
    <row r="305" spans="1:4" x14ac:dyDescent="0.25">
      <c r="A305" s="40" t="str">
        <f>FanduelExcel!B306</f>
        <v>SG</v>
      </c>
      <c r="B305" s="40" t="str">
        <f>FanduelExcel!C306&amp;" "&amp;FanduelExcel!E306</f>
        <v>Alex Abrines</v>
      </c>
      <c r="C305" s="40">
        <f>FanduelExcel!H306</f>
        <v>3500</v>
      </c>
      <c r="D305" s="40">
        <f>FanduelExcel!L306</f>
        <v>0</v>
      </c>
    </row>
    <row r="306" spans="1:4" x14ac:dyDescent="0.25">
      <c r="A306" s="40" t="str">
        <f>FanduelExcel!B307</f>
        <v>PG</v>
      </c>
      <c r="B306" s="40" t="str">
        <f>FanduelExcel!C307&amp;" "&amp;FanduelExcel!E307</f>
        <v>Archie Goodwin</v>
      </c>
      <c r="C306" s="40">
        <f>FanduelExcel!H307</f>
        <v>3500</v>
      </c>
      <c r="D306" s="40">
        <f>FanduelExcel!L307</f>
        <v>0</v>
      </c>
    </row>
    <row r="307" spans="1:4" x14ac:dyDescent="0.25">
      <c r="A307" s="40" t="str">
        <f>FanduelExcel!B308</f>
        <v>PG</v>
      </c>
      <c r="B307" s="40" t="str">
        <f>FanduelExcel!C308&amp;" "&amp;FanduelExcel!E308</f>
        <v>Raul Neto</v>
      </c>
      <c r="C307" s="40">
        <f>FanduelExcel!H308</f>
        <v>3500</v>
      </c>
      <c r="D307" s="40">
        <f>FanduelExcel!L308</f>
        <v>0</v>
      </c>
    </row>
    <row r="308" spans="1:4" x14ac:dyDescent="0.25">
      <c r="A308" s="40" t="str">
        <f>FanduelExcel!B309</f>
        <v>C</v>
      </c>
      <c r="B308" s="40" t="str">
        <f>FanduelExcel!C309&amp;" "&amp;FanduelExcel!E309</f>
        <v>Anderson Varejao</v>
      </c>
      <c r="C308" s="40">
        <f>FanduelExcel!H309</f>
        <v>3500</v>
      </c>
      <c r="D308" s="40">
        <f>FanduelExcel!L309</f>
        <v>0</v>
      </c>
    </row>
    <row r="309" spans="1:4" x14ac:dyDescent="0.25">
      <c r="A309" s="40" t="str">
        <f>FanduelExcel!B310</f>
        <v>PG</v>
      </c>
      <c r="B309" s="40" t="str">
        <f>FanduelExcel!C310&amp;" "&amp;FanduelExcel!E310</f>
        <v>Jason Terry</v>
      </c>
      <c r="C309" s="40">
        <f>FanduelExcel!H310</f>
        <v>3500</v>
      </c>
      <c r="D309" s="40">
        <f>FanduelExcel!L310</f>
        <v>0</v>
      </c>
    </row>
    <row r="310" spans="1:4" x14ac:dyDescent="0.25">
      <c r="A310" s="40" t="str">
        <f>FanduelExcel!B311</f>
        <v>PF</v>
      </c>
      <c r="B310" s="40" t="str">
        <f>FanduelExcel!C311&amp;" "&amp;FanduelExcel!E311</f>
        <v>Kris Humphries</v>
      </c>
      <c r="C310" s="40">
        <f>FanduelExcel!H311</f>
        <v>3500</v>
      </c>
      <c r="D310" s="40">
        <f>FanduelExcel!L311</f>
        <v>0</v>
      </c>
    </row>
    <row r="311" spans="1:4" x14ac:dyDescent="0.25">
      <c r="A311" s="40" t="str">
        <f>FanduelExcel!B312</f>
        <v>SG</v>
      </c>
      <c r="B311" s="40" t="str">
        <f>FanduelExcel!C312&amp;" "&amp;FanduelExcel!E312</f>
        <v>J.R. Smith</v>
      </c>
      <c r="C311" s="40">
        <f>FanduelExcel!H312</f>
        <v>3500</v>
      </c>
      <c r="D311" s="40" t="str">
        <f>FanduelExcel!L312</f>
        <v>O</v>
      </c>
    </row>
    <row r="312" spans="1:4" x14ac:dyDescent="0.25">
      <c r="A312" s="40" t="str">
        <f>FanduelExcel!B313</f>
        <v>SG</v>
      </c>
      <c r="B312" s="40" t="str">
        <f>FanduelExcel!C313&amp;" "&amp;FanduelExcel!E313</f>
        <v>Arron Afflalo</v>
      </c>
      <c r="C312" s="40">
        <f>FanduelExcel!H313</f>
        <v>3500</v>
      </c>
      <c r="D312" s="40">
        <f>FanduelExcel!L313</f>
        <v>0</v>
      </c>
    </row>
    <row r="313" spans="1:4" x14ac:dyDescent="0.25">
      <c r="A313" s="40" t="str">
        <f>FanduelExcel!B314</f>
        <v>PF</v>
      </c>
      <c r="B313" s="40" t="str">
        <f>FanduelExcel!C314&amp;" "&amp;FanduelExcel!E314</f>
        <v>Meyers Leonard</v>
      </c>
      <c r="C313" s="40">
        <f>FanduelExcel!H314</f>
        <v>3500</v>
      </c>
      <c r="D313" s="40">
        <f>FanduelExcel!L314</f>
        <v>0</v>
      </c>
    </row>
    <row r="314" spans="1:4" x14ac:dyDescent="0.25">
      <c r="A314" s="40" t="str">
        <f>FanduelExcel!B315</f>
        <v>PG</v>
      </c>
      <c r="B314" s="40" t="str">
        <f>FanduelExcel!C315&amp;" "&amp;FanduelExcel!E315</f>
        <v>Demetrius Jackson</v>
      </c>
      <c r="C314" s="40">
        <f>FanduelExcel!H315</f>
        <v>3500</v>
      </c>
      <c r="D314" s="40">
        <f>FanduelExcel!L315</f>
        <v>0</v>
      </c>
    </row>
    <row r="315" spans="1:4" x14ac:dyDescent="0.25">
      <c r="A315" s="40" t="str">
        <f>FanduelExcel!B316</f>
        <v>SG</v>
      </c>
      <c r="B315" s="40" t="str">
        <f>FanduelExcel!C316&amp;" "&amp;FanduelExcel!E316</f>
        <v>Anthony Morrow</v>
      </c>
      <c r="C315" s="40">
        <f>FanduelExcel!H316</f>
        <v>3500</v>
      </c>
      <c r="D315" s="40">
        <f>FanduelExcel!L316</f>
        <v>0</v>
      </c>
    </row>
    <row r="316" spans="1:4" x14ac:dyDescent="0.25">
      <c r="A316" s="40" t="str">
        <f>FanduelExcel!B317</f>
        <v>PG</v>
      </c>
      <c r="B316" s="40" t="str">
        <f>FanduelExcel!C317&amp;" "&amp;FanduelExcel!E317</f>
        <v>Aaron Brooks</v>
      </c>
      <c r="C316" s="40">
        <f>FanduelExcel!H317</f>
        <v>3500</v>
      </c>
      <c r="D316" s="40">
        <f>FanduelExcel!L317</f>
        <v>0</v>
      </c>
    </row>
    <row r="317" spans="1:4" x14ac:dyDescent="0.25">
      <c r="A317" s="40" t="str">
        <f>FanduelExcel!B318</f>
        <v>SG</v>
      </c>
      <c r="B317" s="40" t="str">
        <f>FanduelExcel!C318&amp;" "&amp;FanduelExcel!E318</f>
        <v>Troy Daniels</v>
      </c>
      <c r="C317" s="40">
        <f>FanduelExcel!H318</f>
        <v>3500</v>
      </c>
      <c r="D317" s="40">
        <f>FanduelExcel!L318</f>
        <v>0</v>
      </c>
    </row>
    <row r="318" spans="1:4" x14ac:dyDescent="0.25">
      <c r="A318" s="40" t="str">
        <f>FanduelExcel!B319</f>
        <v>PF</v>
      </c>
      <c r="B318" s="40" t="str">
        <f>FanduelExcel!C319&amp;" "&amp;FanduelExcel!E319</f>
        <v>Luis Scola</v>
      </c>
      <c r="C318" s="40">
        <f>FanduelExcel!H319</f>
        <v>3500</v>
      </c>
      <c r="D318" s="40">
        <f>FanduelExcel!L319</f>
        <v>0</v>
      </c>
    </row>
    <row r="319" spans="1:4" x14ac:dyDescent="0.25">
      <c r="A319" s="40" t="str">
        <f>FanduelExcel!B320</f>
        <v>SF</v>
      </c>
      <c r="B319" s="40" t="str">
        <f>FanduelExcel!C320&amp;" "&amp;FanduelExcel!E320</f>
        <v>Treveon Graham</v>
      </c>
      <c r="C319" s="40">
        <f>FanduelExcel!H320</f>
        <v>3500</v>
      </c>
      <c r="D319" s="40">
        <f>FanduelExcel!L320</f>
        <v>0</v>
      </c>
    </row>
    <row r="320" spans="1:4" x14ac:dyDescent="0.25">
      <c r="A320" s="40" t="str">
        <f>FanduelExcel!B321</f>
        <v>SF</v>
      </c>
      <c r="B320" s="40" t="str">
        <f>FanduelExcel!C321&amp;" "&amp;FanduelExcel!E321</f>
        <v>Mike Dunleavy</v>
      </c>
      <c r="C320" s="40">
        <f>FanduelExcel!H321</f>
        <v>3500</v>
      </c>
      <c r="D320" s="40">
        <f>FanduelExcel!L321</f>
        <v>0</v>
      </c>
    </row>
    <row r="321" spans="1:4" x14ac:dyDescent="0.25">
      <c r="A321" s="40" t="str">
        <f>FanduelExcel!B322</f>
        <v>SG</v>
      </c>
      <c r="B321" s="40" t="str">
        <f>FanduelExcel!C322&amp;" "&amp;FanduelExcel!E322</f>
        <v>Brandon Rush</v>
      </c>
      <c r="C321" s="40">
        <f>FanduelExcel!H322</f>
        <v>3500</v>
      </c>
      <c r="D321" s="40">
        <f>FanduelExcel!L322</f>
        <v>0</v>
      </c>
    </row>
    <row r="322" spans="1:4" x14ac:dyDescent="0.25">
      <c r="A322" s="40" t="str">
        <f>FanduelExcel!B323</f>
        <v>C</v>
      </c>
      <c r="B322" s="40" t="str">
        <f>FanduelExcel!C323&amp;" "&amp;FanduelExcel!E323</f>
        <v>Roy Hibbert</v>
      </c>
      <c r="C322" s="40">
        <f>FanduelExcel!H323</f>
        <v>3500</v>
      </c>
      <c r="D322" s="40">
        <f>FanduelExcel!L323</f>
        <v>0</v>
      </c>
    </row>
    <row r="323" spans="1:4" x14ac:dyDescent="0.25">
      <c r="A323" s="40" t="str">
        <f>FanduelExcel!B324</f>
        <v>C</v>
      </c>
      <c r="B323" s="40" t="str">
        <f>FanduelExcel!C324&amp;" "&amp;FanduelExcel!E324</f>
        <v>Boban Marjanovic</v>
      </c>
      <c r="C323" s="40">
        <f>FanduelExcel!H324</f>
        <v>3500</v>
      </c>
      <c r="D323" s="40">
        <f>FanduelExcel!L324</f>
        <v>0</v>
      </c>
    </row>
    <row r="324" spans="1:4" x14ac:dyDescent="0.25">
      <c r="A324" s="40" t="str">
        <f>FanduelExcel!B325</f>
        <v>SG</v>
      </c>
      <c r="B324" s="40" t="str">
        <f>FanduelExcel!C325&amp;" "&amp;FanduelExcel!E325</f>
        <v>Sasha Vujacic</v>
      </c>
      <c r="C324" s="40">
        <f>FanduelExcel!H325</f>
        <v>3500</v>
      </c>
      <c r="D324" s="40">
        <f>FanduelExcel!L325</f>
        <v>0</v>
      </c>
    </row>
    <row r="325" spans="1:4" x14ac:dyDescent="0.25">
      <c r="A325" s="40" t="str">
        <f>FanduelExcel!B326</f>
        <v>SF</v>
      </c>
      <c r="B325" s="40" t="str">
        <f>FanduelExcel!C326&amp;" "&amp;FanduelExcel!E326</f>
        <v>Metta World Peace</v>
      </c>
      <c r="C325" s="40">
        <f>FanduelExcel!H326</f>
        <v>3500</v>
      </c>
      <c r="D325" s="40">
        <f>FanduelExcel!L326</f>
        <v>0</v>
      </c>
    </row>
    <row r="326" spans="1:4" x14ac:dyDescent="0.25">
      <c r="A326" s="40" t="str">
        <f>FanduelExcel!B327</f>
        <v>PF</v>
      </c>
      <c r="B326" s="40" t="str">
        <f>FanduelExcel!C327&amp;" "&amp;FanduelExcel!E327</f>
        <v>Thomas Robinson</v>
      </c>
      <c r="C326" s="40">
        <f>FanduelExcel!H327</f>
        <v>3500</v>
      </c>
      <c r="D326" s="40">
        <f>FanduelExcel!L327</f>
        <v>0</v>
      </c>
    </row>
    <row r="327" spans="1:4" x14ac:dyDescent="0.25">
      <c r="A327" s="40" t="str">
        <f>FanduelExcel!B328</f>
        <v>PG</v>
      </c>
      <c r="B327" s="40" t="str">
        <f>FanduelExcel!C328&amp;" "&amp;FanduelExcel!E328</f>
        <v>Bobby Brown</v>
      </c>
      <c r="C327" s="40">
        <f>FanduelExcel!H328</f>
        <v>3500</v>
      </c>
      <c r="D327" s="40">
        <f>FanduelExcel!L328</f>
        <v>0</v>
      </c>
    </row>
    <row r="328" spans="1:4" x14ac:dyDescent="0.25">
      <c r="A328" s="40" t="str">
        <f>FanduelExcel!B329</f>
        <v>PF</v>
      </c>
      <c r="B328" s="40" t="str">
        <f>FanduelExcel!C329&amp;" "&amp;FanduelExcel!E329</f>
        <v>Udonis Haslem</v>
      </c>
      <c r="C328" s="40">
        <f>FanduelExcel!H329</f>
        <v>3500</v>
      </c>
      <c r="D328" s="40">
        <f>FanduelExcel!L329</f>
        <v>0</v>
      </c>
    </row>
    <row r="329" spans="1:4" x14ac:dyDescent="0.25">
      <c r="A329" s="40" t="str">
        <f>FanduelExcel!B330</f>
        <v>C</v>
      </c>
      <c r="B329" s="40" t="str">
        <f>FanduelExcel!C330&amp;" "&amp;FanduelExcel!E330</f>
        <v>Jeff Withey</v>
      </c>
      <c r="C329" s="40">
        <f>FanduelExcel!H330</f>
        <v>3500</v>
      </c>
      <c r="D329" s="40">
        <f>FanduelExcel!L330</f>
        <v>0</v>
      </c>
    </row>
    <row r="330" spans="1:4" x14ac:dyDescent="0.25">
      <c r="A330" s="40" t="str">
        <f>FanduelExcel!B331</f>
        <v>PG</v>
      </c>
      <c r="B330" s="40" t="str">
        <f>FanduelExcel!C331&amp;" "&amp;FanduelExcel!E331</f>
        <v>Ramon Sessions</v>
      </c>
      <c r="C330" s="40">
        <f>FanduelExcel!H331</f>
        <v>3500</v>
      </c>
      <c r="D330" s="40" t="str">
        <f>FanduelExcel!L331</f>
        <v>O</v>
      </c>
    </row>
    <row r="331" spans="1:4" x14ac:dyDescent="0.25">
      <c r="A331" s="40" t="str">
        <f>FanduelExcel!B332</f>
        <v>SF</v>
      </c>
      <c r="B331" s="40" t="str">
        <f>FanduelExcel!C332&amp;" "&amp;FanduelExcel!E332</f>
        <v>Jonathon Simmons</v>
      </c>
      <c r="C331" s="40">
        <f>FanduelExcel!H332</f>
        <v>3500</v>
      </c>
      <c r="D331" s="40">
        <f>FanduelExcel!L332</f>
        <v>0</v>
      </c>
    </row>
    <row r="332" spans="1:4" x14ac:dyDescent="0.25">
      <c r="A332" s="40" t="str">
        <f>FanduelExcel!B333</f>
        <v>SF</v>
      </c>
      <c r="B332" s="40" t="str">
        <f>FanduelExcel!C333&amp;" "&amp;FanduelExcel!E333</f>
        <v>Corey Brewer</v>
      </c>
      <c r="C332" s="40">
        <f>FanduelExcel!H333</f>
        <v>3500</v>
      </c>
      <c r="D332" s="40">
        <f>FanduelExcel!L333</f>
        <v>0</v>
      </c>
    </row>
    <row r="333" spans="1:4" x14ac:dyDescent="0.25">
      <c r="A333" s="40" t="str">
        <f>FanduelExcel!B334</f>
        <v>C</v>
      </c>
      <c r="B333" s="40" t="str">
        <f>FanduelExcel!C334&amp;" "&amp;FanduelExcel!E334</f>
        <v>Al Jefferson</v>
      </c>
      <c r="C333" s="40">
        <f>FanduelExcel!H334</f>
        <v>3500</v>
      </c>
      <c r="D333" s="40">
        <f>FanduelExcel!L334</f>
        <v>0</v>
      </c>
    </row>
    <row r="334" spans="1:4" x14ac:dyDescent="0.25">
      <c r="A334" s="40" t="str">
        <f>FanduelExcel!B335</f>
        <v>SG</v>
      </c>
      <c r="B334" s="40" t="str">
        <f>FanduelExcel!C335&amp;" "&amp;FanduelExcel!E335</f>
        <v>Joe Young</v>
      </c>
      <c r="C334" s="40">
        <f>FanduelExcel!H335</f>
        <v>3500</v>
      </c>
      <c r="D334" s="40">
        <f>FanduelExcel!L335</f>
        <v>0</v>
      </c>
    </row>
    <row r="335" spans="1:4" x14ac:dyDescent="0.25">
      <c r="A335" s="40" t="str">
        <f>FanduelExcel!B336</f>
        <v>PF</v>
      </c>
      <c r="B335" s="40" t="str">
        <f>FanduelExcel!C336&amp;" "&amp;FanduelExcel!E336</f>
        <v>Kyle Wiltjer</v>
      </c>
      <c r="C335" s="40">
        <f>FanduelExcel!H336</f>
        <v>3500</v>
      </c>
      <c r="D335" s="40">
        <f>FanduelExcel!L336</f>
        <v>0</v>
      </c>
    </row>
    <row r="336" spans="1:4" x14ac:dyDescent="0.25">
      <c r="A336" s="40" t="str">
        <f>FanduelExcel!B337</f>
        <v>C</v>
      </c>
      <c r="B336" s="40" t="str">
        <f>FanduelExcel!C337&amp;" "&amp;FanduelExcel!E337</f>
        <v>Stephen Zimmerman Jr.</v>
      </c>
      <c r="C336" s="40">
        <f>FanduelExcel!H337</f>
        <v>3500</v>
      </c>
      <c r="D336" s="40">
        <f>FanduelExcel!L337</f>
        <v>0</v>
      </c>
    </row>
    <row r="337" spans="1:4" x14ac:dyDescent="0.25">
      <c r="A337" s="40" t="str">
        <f>FanduelExcel!B338</f>
        <v>SF</v>
      </c>
      <c r="B337" s="40" t="str">
        <f>FanduelExcel!C338&amp;" "&amp;FanduelExcel!E338</f>
        <v>Derrick Jones Jr.</v>
      </c>
      <c r="C337" s="40">
        <f>FanduelExcel!H338</f>
        <v>3500</v>
      </c>
      <c r="D337" s="40">
        <f>FanduelExcel!L338</f>
        <v>0</v>
      </c>
    </row>
    <row r="338" spans="1:4" x14ac:dyDescent="0.25">
      <c r="A338" s="40" t="str">
        <f>FanduelExcel!B339</f>
        <v>PF</v>
      </c>
      <c r="B338" s="40" t="str">
        <f>FanduelExcel!C339&amp;" "&amp;FanduelExcel!E339</f>
        <v>David West</v>
      </c>
      <c r="C338" s="40">
        <f>FanduelExcel!H339</f>
        <v>3500</v>
      </c>
      <c r="D338" s="40" t="str">
        <f>FanduelExcel!L339</f>
        <v>O</v>
      </c>
    </row>
    <row r="339" spans="1:4" x14ac:dyDescent="0.25">
      <c r="A339" s="40" t="str">
        <f>FanduelExcel!B340</f>
        <v>SF</v>
      </c>
      <c r="B339" s="40" t="str">
        <f>FanduelExcel!C340&amp;" "&amp;FanduelExcel!E340</f>
        <v>Jeff Green</v>
      </c>
      <c r="C339" s="40">
        <f>FanduelExcel!H340</f>
        <v>3500</v>
      </c>
      <c r="D339" s="40">
        <f>FanduelExcel!L340</f>
        <v>0</v>
      </c>
    </row>
    <row r="340" spans="1:4" x14ac:dyDescent="0.25">
      <c r="A340" s="40" t="str">
        <f>FanduelExcel!B341</f>
        <v>PF</v>
      </c>
      <c r="B340" s="40" t="str">
        <f>FanduelExcel!C341&amp;" "&amp;FanduelExcel!E341</f>
        <v>Nick Collison</v>
      </c>
      <c r="C340" s="40">
        <f>FanduelExcel!H341</f>
        <v>3500</v>
      </c>
      <c r="D340" s="40">
        <f>FanduelExcel!L341</f>
        <v>0</v>
      </c>
    </row>
    <row r="341" spans="1:4" x14ac:dyDescent="0.25">
      <c r="A341" s="40" t="str">
        <f>FanduelExcel!B342</f>
        <v>PG</v>
      </c>
      <c r="B341" s="40" t="str">
        <f>FanduelExcel!C342&amp;" "&amp;FanduelExcel!E342</f>
        <v>Nicolas Laprovittola</v>
      </c>
      <c r="C341" s="40">
        <f>FanduelExcel!H342</f>
        <v>3500</v>
      </c>
      <c r="D341" s="40">
        <f>FanduelExcel!L342</f>
        <v>0</v>
      </c>
    </row>
    <row r="342" spans="1:4" x14ac:dyDescent="0.25">
      <c r="A342" s="40" t="str">
        <f>FanduelExcel!B343</f>
        <v>PG</v>
      </c>
      <c r="B342" s="40" t="str">
        <f>FanduelExcel!C343&amp;" "&amp;FanduelExcel!E343</f>
        <v>Cameron Payne</v>
      </c>
      <c r="C342" s="40">
        <f>FanduelExcel!H343</f>
        <v>3500</v>
      </c>
      <c r="D342" s="40">
        <f>FanduelExcel!L343</f>
        <v>0</v>
      </c>
    </row>
    <row r="343" spans="1:4" x14ac:dyDescent="0.25">
      <c r="A343" s="40" t="str">
        <f>FanduelExcel!B344</f>
        <v>PF</v>
      </c>
      <c r="B343" s="40" t="str">
        <f>FanduelExcel!C344&amp;" "&amp;FanduelExcel!E344</f>
        <v>Brandon Bass</v>
      </c>
      <c r="C343" s="40">
        <f>FanduelExcel!H344</f>
        <v>3500</v>
      </c>
      <c r="D343" s="40">
        <f>FanduelExcel!L344</f>
        <v>0</v>
      </c>
    </row>
    <row r="344" spans="1:4" x14ac:dyDescent="0.25">
      <c r="A344" s="40" t="str">
        <f>FanduelExcel!B345</f>
        <v>SG</v>
      </c>
      <c r="B344" s="40" t="str">
        <f>FanduelExcel!C345&amp;" "&amp;FanduelExcel!E345</f>
        <v>Leandro Barbosa</v>
      </c>
      <c r="C344" s="40">
        <f>FanduelExcel!H345</f>
        <v>3500</v>
      </c>
      <c r="D344" s="40">
        <f>FanduelExcel!L345</f>
        <v>0</v>
      </c>
    </row>
    <row r="345" spans="1:4" x14ac:dyDescent="0.25">
      <c r="A345" s="40" t="str">
        <f>FanduelExcel!B346</f>
        <v>PF</v>
      </c>
      <c r="B345" s="40" t="str">
        <f>FanduelExcel!C346&amp;" "&amp;FanduelExcel!E346</f>
        <v>Jared Dudley</v>
      </c>
      <c r="C345" s="40">
        <f>FanduelExcel!H346</f>
        <v>3500</v>
      </c>
      <c r="D345" s="40">
        <f>FanduelExcel!L346</f>
        <v>0</v>
      </c>
    </row>
    <row r="346" spans="1:4" x14ac:dyDescent="0.25">
      <c r="A346" s="40" t="str">
        <f>FanduelExcel!B347</f>
        <v>SF</v>
      </c>
      <c r="B346" s="40" t="str">
        <f>FanduelExcel!C347&amp;" "&amp;FanduelExcel!E347</f>
        <v>Lance Thomas</v>
      </c>
      <c r="C346" s="40">
        <f>FanduelExcel!H347</f>
        <v>3500</v>
      </c>
      <c r="D346" s="40">
        <f>FanduelExcel!L347</f>
        <v>0</v>
      </c>
    </row>
    <row r="347" spans="1:4" x14ac:dyDescent="0.25">
      <c r="A347" s="40" t="str">
        <f>FanduelExcel!B348</f>
        <v>PG</v>
      </c>
      <c r="B347" s="40" t="str">
        <f>FanduelExcel!C348&amp;" "&amp;FanduelExcel!E348</f>
        <v>Beno Udrih</v>
      </c>
      <c r="C347" s="40">
        <f>FanduelExcel!H348</f>
        <v>3500</v>
      </c>
      <c r="D347" s="40">
        <f>FanduelExcel!L348</f>
        <v>0</v>
      </c>
    </row>
    <row r="348" spans="1:4" x14ac:dyDescent="0.25">
      <c r="A348" s="40" t="str">
        <f>FanduelExcel!B349</f>
        <v>PF</v>
      </c>
      <c r="B348" s="40" t="str">
        <f>FanduelExcel!C349&amp;" "&amp;FanduelExcel!E349</f>
        <v>Mike Muscala</v>
      </c>
      <c r="C348" s="40">
        <f>FanduelExcel!H349</f>
        <v>3500</v>
      </c>
      <c r="D348" s="40">
        <f>FanduelExcel!L349</f>
        <v>0</v>
      </c>
    </row>
    <row r="349" spans="1:4" x14ac:dyDescent="0.25">
      <c r="A349" s="40" t="str">
        <f>FanduelExcel!B350</f>
        <v>SG</v>
      </c>
      <c r="B349" s="40" t="str">
        <f>FanduelExcel!C350&amp;" "&amp;FanduelExcel!E350</f>
        <v>Manu Ginobili</v>
      </c>
      <c r="C349" s="40">
        <f>FanduelExcel!H350</f>
        <v>3500</v>
      </c>
      <c r="D349" s="40">
        <f>FanduelExcel!L350</f>
        <v>0</v>
      </c>
    </row>
    <row r="350" spans="1:4" x14ac:dyDescent="0.25">
      <c r="A350" s="40" t="str">
        <f>FanduelExcel!B351</f>
        <v>PG</v>
      </c>
      <c r="B350" s="40" t="str">
        <f>FanduelExcel!C351&amp;" "&amp;FanduelExcel!E351</f>
        <v>Jose Calderon</v>
      </c>
      <c r="C350" s="40">
        <f>FanduelExcel!H351</f>
        <v>3500</v>
      </c>
      <c r="D350" s="40">
        <f>FanduelExcel!L351</f>
        <v>0</v>
      </c>
    </row>
    <row r="351" spans="1:4" x14ac:dyDescent="0.25">
      <c r="A351" s="40" t="str">
        <f>FanduelExcel!B352</f>
        <v>PF</v>
      </c>
      <c r="B351" s="40" t="str">
        <f>FanduelExcel!C352&amp;" "&amp;FanduelExcel!E352</f>
        <v>Adreian Payne</v>
      </c>
      <c r="C351" s="40">
        <f>FanduelExcel!H352</f>
        <v>3500</v>
      </c>
      <c r="D351" s="40" t="str">
        <f>FanduelExcel!L352</f>
        <v>O</v>
      </c>
    </row>
    <row r="352" spans="1:4" x14ac:dyDescent="0.25">
      <c r="A352" s="40" t="str">
        <f>FanduelExcel!B353</f>
        <v>PG</v>
      </c>
      <c r="B352" s="40" t="str">
        <f>FanduelExcel!C353&amp;" "&amp;FanduelExcel!E353</f>
        <v>Ronnie Price</v>
      </c>
      <c r="C352" s="40">
        <f>FanduelExcel!H353</f>
        <v>3500</v>
      </c>
      <c r="D352" s="40">
        <f>FanduelExcel!L353</f>
        <v>0</v>
      </c>
    </row>
    <row r="353" spans="1:4" x14ac:dyDescent="0.25">
      <c r="A353" s="40" t="str">
        <f>FanduelExcel!B354</f>
        <v>C</v>
      </c>
      <c r="B353" s="40" t="str">
        <f>FanduelExcel!C354&amp;" "&amp;FanduelExcel!E354</f>
        <v>Kosta Koufos</v>
      </c>
      <c r="C353" s="40">
        <f>FanduelExcel!H354</f>
        <v>3500</v>
      </c>
      <c r="D353" s="40">
        <f>FanduelExcel!L354</f>
        <v>0</v>
      </c>
    </row>
    <row r="354" spans="1:4" x14ac:dyDescent="0.25">
      <c r="A354" s="40" t="str">
        <f>FanduelExcel!B355</f>
        <v>SG</v>
      </c>
      <c r="B354" s="40" t="str">
        <f>FanduelExcel!C355&amp;" "&amp;FanduelExcel!E355</f>
        <v>Randy Foye</v>
      </c>
      <c r="C354" s="40">
        <f>FanduelExcel!H355</f>
        <v>3500</v>
      </c>
      <c r="D354" s="40">
        <f>FanduelExcel!L355</f>
        <v>0</v>
      </c>
    </row>
    <row r="355" spans="1:4" x14ac:dyDescent="0.25">
      <c r="A355" s="40" t="str">
        <f>FanduelExcel!B356</f>
        <v>SF</v>
      </c>
      <c r="B355" s="40" t="str">
        <f>FanduelExcel!C356&amp;" "&amp;FanduelExcel!E356</f>
        <v>Mike Miller</v>
      </c>
      <c r="C355" s="40">
        <f>FanduelExcel!H356</f>
        <v>3500</v>
      </c>
      <c r="D355" s="40">
        <f>FanduelExcel!L356</f>
        <v>0</v>
      </c>
    </row>
    <row r="356" spans="1:4" x14ac:dyDescent="0.25">
      <c r="A356" s="40" t="str">
        <f>FanduelExcel!B357</f>
        <v>SG</v>
      </c>
      <c r="B356" s="40" t="str">
        <f>FanduelExcel!C357&amp;" "&amp;FanduelExcel!E357</f>
        <v>Malik Beasley</v>
      </c>
      <c r="C356" s="40">
        <f>FanduelExcel!H357</f>
        <v>3500</v>
      </c>
      <c r="D356" s="40">
        <f>FanduelExcel!L357</f>
        <v>0</v>
      </c>
    </row>
    <row r="357" spans="1:4" x14ac:dyDescent="0.25">
      <c r="A357" s="40" t="str">
        <f>FanduelExcel!B358</f>
        <v>PF</v>
      </c>
      <c r="B357" s="40" t="str">
        <f>FanduelExcel!C358&amp;" "&amp;FanduelExcel!E358</f>
        <v>Jordan Hill</v>
      </c>
      <c r="C357" s="40">
        <f>FanduelExcel!H358</f>
        <v>3500</v>
      </c>
      <c r="D357" s="40">
        <f>FanduelExcel!L358</f>
        <v>0</v>
      </c>
    </row>
    <row r="358" spans="1:4" x14ac:dyDescent="0.25">
      <c r="A358" s="40" t="str">
        <f>FanduelExcel!B359</f>
        <v>C</v>
      </c>
      <c r="B358" s="40" t="str">
        <f>FanduelExcel!C359&amp;" "&amp;FanduelExcel!E359</f>
        <v>Joel Anthony</v>
      </c>
      <c r="C358" s="40">
        <f>FanduelExcel!H359</f>
        <v>3500</v>
      </c>
      <c r="D358" s="40">
        <f>FanduelExcel!L359</f>
        <v>0</v>
      </c>
    </row>
    <row r="359" spans="1:4" x14ac:dyDescent="0.25">
      <c r="A359" s="40" t="str">
        <f>FanduelExcel!B360</f>
        <v>SG</v>
      </c>
      <c r="B359" s="40" t="str">
        <f>FanduelExcel!C360&amp;" "&amp;FanduelExcel!E360</f>
        <v>James Jones</v>
      </c>
      <c r="C359" s="40">
        <f>FanduelExcel!H360</f>
        <v>3500</v>
      </c>
      <c r="D359" s="40">
        <f>FanduelExcel!L360</f>
        <v>0</v>
      </c>
    </row>
    <row r="360" spans="1:4" x14ac:dyDescent="0.25">
      <c r="A360" s="40" t="str">
        <f>FanduelExcel!B361</f>
        <v>PF</v>
      </c>
      <c r="B360" s="40" t="str">
        <f>FanduelExcel!C361&amp;" "&amp;FanduelExcel!E361</f>
        <v>Skal Labissiere</v>
      </c>
      <c r="C360" s="40">
        <f>FanduelExcel!H361</f>
        <v>3500</v>
      </c>
      <c r="D360" s="40">
        <f>FanduelExcel!L361</f>
        <v>0</v>
      </c>
    </row>
    <row r="361" spans="1:4" x14ac:dyDescent="0.25">
      <c r="A361" s="40" t="str">
        <f>FanduelExcel!B362</f>
        <v>SF</v>
      </c>
      <c r="B361" s="40" t="str">
        <f>FanduelExcel!C362&amp;" "&amp;FanduelExcel!E362</f>
        <v>Luc Richard Mbah a Moute</v>
      </c>
      <c r="C361" s="40">
        <f>FanduelExcel!H362</f>
        <v>3500</v>
      </c>
      <c r="D361" s="40">
        <f>FanduelExcel!L362</f>
        <v>0</v>
      </c>
    </row>
    <row r="362" spans="1:4" x14ac:dyDescent="0.25">
      <c r="A362" s="40" t="str">
        <f>FanduelExcel!B363</f>
        <v>C</v>
      </c>
      <c r="B362" s="40" t="str">
        <f>FanduelExcel!C363&amp;" "&amp;FanduelExcel!E363</f>
        <v>Diamond Stone</v>
      </c>
      <c r="C362" s="40">
        <f>FanduelExcel!H363</f>
        <v>3500</v>
      </c>
      <c r="D362" s="40">
        <f>FanduelExcel!L363</f>
        <v>0</v>
      </c>
    </row>
    <row r="363" spans="1:4" x14ac:dyDescent="0.25">
      <c r="A363" s="40" t="str">
        <f>FanduelExcel!B364</f>
        <v>SG</v>
      </c>
      <c r="B363" s="40" t="str">
        <f>FanduelExcel!C364&amp;" "&amp;FanduelExcel!E364</f>
        <v>Reggie Bullock</v>
      </c>
      <c r="C363" s="40">
        <f>FanduelExcel!H364</f>
        <v>3500</v>
      </c>
      <c r="D363" s="40">
        <f>FanduelExcel!L364</f>
        <v>0</v>
      </c>
    </row>
    <row r="364" spans="1:4" x14ac:dyDescent="0.25">
      <c r="A364" s="40" t="str">
        <f>FanduelExcel!B365</f>
        <v>C</v>
      </c>
      <c r="B364" s="40" t="str">
        <f>FanduelExcel!C365&amp;" "&amp;FanduelExcel!E365</f>
        <v>Alexis Ajinca</v>
      </c>
      <c r="C364" s="40">
        <f>FanduelExcel!H365</f>
        <v>3500</v>
      </c>
      <c r="D364" s="40">
        <f>FanduelExcel!L365</f>
        <v>0</v>
      </c>
    </row>
    <row r="365" spans="1:4" x14ac:dyDescent="0.25">
      <c r="A365" s="40" t="str">
        <f>FanduelExcel!B366</f>
        <v>PF</v>
      </c>
      <c r="B365" s="40" t="str">
        <f>FanduelExcel!C366&amp;" "&amp;FanduelExcel!E366</f>
        <v>Deyonta Davis</v>
      </c>
      <c r="C365" s="40">
        <f>FanduelExcel!H366</f>
        <v>3500</v>
      </c>
      <c r="D365" s="40">
        <f>FanduelExcel!L366</f>
        <v>0</v>
      </c>
    </row>
    <row r="366" spans="1:4" x14ac:dyDescent="0.25">
      <c r="A366" s="40" t="str">
        <f>FanduelExcel!B367</f>
        <v>PF</v>
      </c>
      <c r="B366" s="40" t="str">
        <f>FanduelExcel!C367&amp;" "&amp;FanduelExcel!E367</f>
        <v>James Michael McAdoo</v>
      </c>
      <c r="C366" s="40">
        <f>FanduelExcel!H367</f>
        <v>3500</v>
      </c>
      <c r="D366" s="40">
        <f>FanduelExcel!L367</f>
        <v>0</v>
      </c>
    </row>
    <row r="367" spans="1:4" x14ac:dyDescent="0.25">
      <c r="A367" s="40" t="str">
        <f>FanduelExcel!B368</f>
        <v>C</v>
      </c>
      <c r="B367" s="40" t="str">
        <f>FanduelExcel!C368&amp;" "&amp;FanduelExcel!E368</f>
        <v>Tyler Zeller</v>
      </c>
      <c r="C367" s="40">
        <f>FanduelExcel!H368</f>
        <v>3500</v>
      </c>
      <c r="D367" s="40">
        <f>FanduelExcel!L368</f>
        <v>0</v>
      </c>
    </row>
    <row r="368" spans="1:4" x14ac:dyDescent="0.25">
      <c r="A368" s="40" t="str">
        <f>FanduelExcel!B369</f>
        <v>PG</v>
      </c>
      <c r="B368" s="40" t="str">
        <f>FanduelExcel!C369&amp;" "&amp;FanduelExcel!E369</f>
        <v>Semaj Christon</v>
      </c>
      <c r="C368" s="40">
        <f>FanduelExcel!H369</f>
        <v>3500</v>
      </c>
      <c r="D368" s="40">
        <f>FanduelExcel!L369</f>
        <v>0</v>
      </c>
    </row>
    <row r="369" spans="1:4" x14ac:dyDescent="0.25">
      <c r="A369" s="40" t="str">
        <f>FanduelExcel!B370</f>
        <v>SF</v>
      </c>
      <c r="B369" s="40" t="str">
        <f>FanduelExcel!C370&amp;" "&amp;FanduelExcel!E370</f>
        <v>Georges Niang</v>
      </c>
      <c r="C369" s="40">
        <f>FanduelExcel!H370</f>
        <v>3500</v>
      </c>
      <c r="D369" s="40">
        <f>FanduelExcel!L370</f>
        <v>0</v>
      </c>
    </row>
    <row r="370" spans="1:4" x14ac:dyDescent="0.25">
      <c r="A370" s="40" t="str">
        <f>FanduelExcel!B371</f>
        <v>PF</v>
      </c>
      <c r="B370" s="40" t="str">
        <f>FanduelExcel!C371&amp;" "&amp;FanduelExcel!E371</f>
        <v>Pascal Siakam</v>
      </c>
      <c r="C370" s="40">
        <f>FanduelExcel!H371</f>
        <v>3500</v>
      </c>
      <c r="D370" s="40">
        <f>FanduelExcel!L371</f>
        <v>0</v>
      </c>
    </row>
    <row r="371" spans="1:4" x14ac:dyDescent="0.25">
      <c r="A371" s="40" t="str">
        <f>FanduelExcel!B372</f>
        <v>SG</v>
      </c>
      <c r="B371" s="40" t="str">
        <f>FanduelExcel!C372&amp;" "&amp;FanduelExcel!E372</f>
        <v>Gerald Green</v>
      </c>
      <c r="C371" s="40">
        <f>FanduelExcel!H372</f>
        <v>3500</v>
      </c>
      <c r="D371" s="40">
        <f>FanduelExcel!L372</f>
        <v>0</v>
      </c>
    </row>
    <row r="372" spans="1:4" x14ac:dyDescent="0.25">
      <c r="A372" s="40" t="str">
        <f>FanduelExcel!B373</f>
        <v>SG</v>
      </c>
      <c r="B372" s="40" t="str">
        <f>FanduelExcel!C373&amp;" "&amp;FanduelExcel!E373</f>
        <v>Pat Connaughton</v>
      </c>
      <c r="C372" s="40">
        <f>FanduelExcel!H373</f>
        <v>3500</v>
      </c>
      <c r="D372" s="40">
        <f>FanduelExcel!L373</f>
        <v>0</v>
      </c>
    </row>
    <row r="373" spans="1:4" x14ac:dyDescent="0.25">
      <c r="A373" s="40" t="str">
        <f>FanduelExcel!B374</f>
        <v>PF</v>
      </c>
      <c r="B373" s="40" t="str">
        <f>FanduelExcel!C374&amp;" "&amp;FanduelExcel!E374</f>
        <v>Jared Sullinger</v>
      </c>
      <c r="C373" s="40">
        <f>FanduelExcel!H374</f>
        <v>3500</v>
      </c>
      <c r="D373" s="40">
        <f>FanduelExcel!L374</f>
        <v>0</v>
      </c>
    </row>
    <row r="374" spans="1:4" x14ac:dyDescent="0.25">
      <c r="A374" s="40" t="str">
        <f>FanduelExcel!B375</f>
        <v>PF</v>
      </c>
      <c r="B374" s="40" t="str">
        <f>FanduelExcel!C375&amp;" "&amp;FanduelExcel!E375</f>
        <v>Joel Bolomboy</v>
      </c>
      <c r="C374" s="40">
        <f>FanduelExcel!H375</f>
        <v>3500</v>
      </c>
      <c r="D374" s="40">
        <f>FanduelExcel!L375</f>
        <v>0</v>
      </c>
    </row>
    <row r="375" spans="1:4" x14ac:dyDescent="0.25">
      <c r="A375" s="40" t="str">
        <f>FanduelExcel!B376</f>
        <v>SG</v>
      </c>
      <c r="B375" s="40" t="str">
        <f>FanduelExcel!C376&amp;" "&amp;FanduelExcel!E376</f>
        <v>Malachi Richardson</v>
      </c>
      <c r="C375" s="40">
        <f>FanduelExcel!H376</f>
        <v>3500</v>
      </c>
      <c r="D375" s="40">
        <f>FanduelExcel!L376</f>
        <v>0</v>
      </c>
    </row>
    <row r="376" spans="1:4" x14ac:dyDescent="0.25">
      <c r="A376" s="40" t="str">
        <f>FanduelExcel!B377</f>
        <v>PF</v>
      </c>
      <c r="B376" s="40" t="str">
        <f>FanduelExcel!C377&amp;" "&amp;FanduelExcel!E377</f>
        <v>Maurice Ndour</v>
      </c>
      <c r="C376" s="40">
        <f>FanduelExcel!H377</f>
        <v>3500</v>
      </c>
      <c r="D376" s="40">
        <f>FanduelExcel!L377</f>
        <v>0</v>
      </c>
    </row>
    <row r="377" spans="1:4" x14ac:dyDescent="0.25">
      <c r="A377" s="40" t="str">
        <f>FanduelExcel!B378</f>
        <v>PF</v>
      </c>
      <c r="B377" s="40" t="str">
        <f>FanduelExcel!C378&amp;" "&amp;FanduelExcel!E378</f>
        <v>Noah Vonleh</v>
      </c>
      <c r="C377" s="40">
        <f>FanduelExcel!H378</f>
        <v>3500</v>
      </c>
      <c r="D377" s="40">
        <f>FanduelExcel!L378</f>
        <v>0</v>
      </c>
    </row>
    <row r="378" spans="1:4" x14ac:dyDescent="0.25">
      <c r="A378" s="40" t="str">
        <f>FanduelExcel!B379</f>
        <v>SF</v>
      </c>
      <c r="B378" s="40" t="str">
        <f>FanduelExcel!C379&amp;" "&amp;FanduelExcel!E379</f>
        <v>Troy Williams</v>
      </c>
      <c r="C378" s="40">
        <f>FanduelExcel!H379</f>
        <v>3500</v>
      </c>
      <c r="D378" s="40">
        <f>FanduelExcel!L379</f>
        <v>0</v>
      </c>
    </row>
    <row r="379" spans="1:4" x14ac:dyDescent="0.25">
      <c r="A379" s="40" t="str">
        <f>FanduelExcel!B380</f>
        <v>SF</v>
      </c>
      <c r="B379" s="40" t="str">
        <f>FanduelExcel!C380&amp;" "&amp;FanduelExcel!E380</f>
        <v>Steve Novak</v>
      </c>
      <c r="C379" s="40">
        <f>FanduelExcel!H380</f>
        <v>3500</v>
      </c>
      <c r="D379" s="40">
        <f>FanduelExcel!L380</f>
        <v>0</v>
      </c>
    </row>
    <row r="380" spans="1:4" x14ac:dyDescent="0.25">
      <c r="A380" s="40" t="str">
        <f>FanduelExcel!B381</f>
        <v>SG</v>
      </c>
      <c r="B380" s="40" t="str">
        <f>FanduelExcel!C381&amp;" "&amp;FanduelExcel!E381</f>
        <v>Aaron Harrison</v>
      </c>
      <c r="C380" s="40">
        <f>FanduelExcel!H381</f>
        <v>3500</v>
      </c>
      <c r="D380" s="40">
        <f>FanduelExcel!L381</f>
        <v>0</v>
      </c>
    </row>
    <row r="381" spans="1:4" x14ac:dyDescent="0.25">
      <c r="A381" s="40" t="str">
        <f>FanduelExcel!B382</f>
        <v>PG</v>
      </c>
      <c r="B381" s="40" t="str">
        <f>FanduelExcel!C382&amp;" "&amp;FanduelExcel!E382</f>
        <v>Andrew Harrison</v>
      </c>
      <c r="C381" s="40">
        <f>FanduelExcel!H382</f>
        <v>3500</v>
      </c>
      <c r="D381" s="40">
        <f>FanduelExcel!L382</f>
        <v>0</v>
      </c>
    </row>
    <row r="382" spans="1:4" x14ac:dyDescent="0.25">
      <c r="A382" s="40" t="str">
        <f>FanduelExcel!B383</f>
        <v>SF</v>
      </c>
      <c r="B382" s="40" t="str">
        <f>FanduelExcel!C383&amp;" "&amp;FanduelExcel!E383</f>
        <v>James Young</v>
      </c>
      <c r="C382" s="40">
        <f>FanduelExcel!H383</f>
        <v>3500</v>
      </c>
      <c r="D382" s="40">
        <f>FanduelExcel!L383</f>
        <v>0</v>
      </c>
    </row>
    <row r="383" spans="1:4" x14ac:dyDescent="0.25">
      <c r="A383" s="40" t="str">
        <f>FanduelExcel!B384</f>
        <v>SF</v>
      </c>
      <c r="B383" s="40" t="str">
        <f>FanduelExcel!C384&amp;" "&amp;FanduelExcel!E384</f>
        <v>Mindaugas Kuzminskas</v>
      </c>
      <c r="C383" s="40">
        <f>FanduelExcel!H384</f>
        <v>3500</v>
      </c>
      <c r="D383" s="40">
        <f>FanduelExcel!L384</f>
        <v>0</v>
      </c>
    </row>
    <row r="384" spans="1:4" x14ac:dyDescent="0.25">
      <c r="A384" s="40" t="str">
        <f>FanduelExcel!B385</f>
        <v>PG</v>
      </c>
      <c r="B384" s="40" t="str">
        <f>FanduelExcel!C385&amp;" "&amp;FanduelExcel!E385</f>
        <v>Terry Rozier</v>
      </c>
      <c r="C384" s="40">
        <f>FanduelExcel!H385</f>
        <v>3500</v>
      </c>
      <c r="D384" s="40">
        <f>FanduelExcel!L385</f>
        <v>0</v>
      </c>
    </row>
    <row r="385" spans="1:4" x14ac:dyDescent="0.25">
      <c r="A385" s="40" t="str">
        <f>FanduelExcel!B386</f>
        <v>PG</v>
      </c>
      <c r="B385" s="40" t="str">
        <f>FanduelExcel!C386&amp;" "&amp;FanduelExcel!E386</f>
        <v>Tyler Ennis</v>
      </c>
      <c r="C385" s="40">
        <f>FanduelExcel!H386</f>
        <v>3500</v>
      </c>
      <c r="D385" s="40">
        <f>FanduelExcel!L386</f>
        <v>0</v>
      </c>
    </row>
    <row r="386" spans="1:4" x14ac:dyDescent="0.25">
      <c r="A386" s="40" t="str">
        <f>FanduelExcel!B387</f>
        <v>PG</v>
      </c>
      <c r="B386" s="40" t="str">
        <f>FanduelExcel!C387&amp;" "&amp;FanduelExcel!E387</f>
        <v>Tim Frazier</v>
      </c>
      <c r="C386" s="40">
        <f>FanduelExcel!H387</f>
        <v>3500</v>
      </c>
      <c r="D386" s="40">
        <f>FanduelExcel!L387</f>
        <v>0</v>
      </c>
    </row>
    <row r="387" spans="1:4" x14ac:dyDescent="0.25">
      <c r="A387" s="40" t="str">
        <f>FanduelExcel!B388</f>
        <v>PG</v>
      </c>
      <c r="B387" s="40" t="str">
        <f>FanduelExcel!C388&amp;" "&amp;FanduelExcel!E388</f>
        <v>Patty Mills</v>
      </c>
      <c r="C387" s="40">
        <f>FanduelExcel!H388</f>
        <v>3500</v>
      </c>
      <c r="D387" s="40">
        <f>FanduelExcel!L388</f>
        <v>0</v>
      </c>
    </row>
    <row r="388" spans="1:4" x14ac:dyDescent="0.25">
      <c r="A388" s="40" t="str">
        <f>FanduelExcel!B389</f>
        <v>SG</v>
      </c>
      <c r="B388" s="40" t="str">
        <f>FanduelExcel!C389&amp;" "&amp;FanduelExcel!E389</f>
        <v>Lamar Patterson</v>
      </c>
      <c r="C388" s="40">
        <f>FanduelExcel!H389</f>
        <v>3500</v>
      </c>
      <c r="D388" s="40">
        <f>FanduelExcel!L389</f>
        <v>0</v>
      </c>
    </row>
    <row r="389" spans="1:4" x14ac:dyDescent="0.25">
      <c r="A389" s="40" t="str">
        <f>FanduelExcel!B390</f>
        <v>PG</v>
      </c>
      <c r="B389" s="40" t="str">
        <f>FanduelExcel!C390&amp;" "&amp;FanduelExcel!E390</f>
        <v>Tyus Jones</v>
      </c>
      <c r="C389" s="40">
        <f>FanduelExcel!H390</f>
        <v>3500</v>
      </c>
      <c r="D389" s="40">
        <f>FanduelExcel!L390</f>
        <v>0</v>
      </c>
    </row>
    <row r="390" spans="1:4" x14ac:dyDescent="0.25">
      <c r="A390" s="40" t="str">
        <f>FanduelExcel!B391</f>
        <v>C</v>
      </c>
      <c r="B390" s="40" t="str">
        <f>FanduelExcel!C391&amp;" "&amp;FanduelExcel!E391</f>
        <v>A.J. Hammons</v>
      </c>
      <c r="C390" s="40">
        <f>FanduelExcel!H391</f>
        <v>3500</v>
      </c>
      <c r="D390" s="40">
        <f>FanduelExcel!L391</f>
        <v>0</v>
      </c>
    </row>
    <row r="391" spans="1:4" x14ac:dyDescent="0.25">
      <c r="A391" s="40" t="str">
        <f>FanduelExcel!B392</f>
        <v>PF</v>
      </c>
      <c r="B391" s="40" t="str">
        <f>FanduelExcel!C392&amp;" "&amp;FanduelExcel!E392</f>
        <v>Jonas Jerebko</v>
      </c>
      <c r="C391" s="40">
        <f>FanduelExcel!H392</f>
        <v>3500</v>
      </c>
      <c r="D391" s="40">
        <f>FanduelExcel!L392</f>
        <v>0</v>
      </c>
    </row>
    <row r="392" spans="1:4" x14ac:dyDescent="0.25">
      <c r="A392" s="40" t="str">
        <f>FanduelExcel!B393</f>
        <v>PG</v>
      </c>
      <c r="B392" s="40" t="str">
        <f>FanduelExcel!C393&amp;" "&amp;FanduelExcel!E393</f>
        <v>Sergio Rodriguez</v>
      </c>
      <c r="C392" s="40">
        <f>FanduelExcel!H393</f>
        <v>3500</v>
      </c>
      <c r="D392" s="40">
        <f>FanduelExcel!L393</f>
        <v>0</v>
      </c>
    </row>
    <row r="393" spans="1:4" x14ac:dyDescent="0.25">
      <c r="A393" s="40" t="str">
        <f>FanduelExcel!B394</f>
        <v>C</v>
      </c>
      <c r="B393" s="40" t="str">
        <f>FanduelExcel!C394&amp;" "&amp;FanduelExcel!E394</f>
        <v>Jusuf Nurkic</v>
      </c>
      <c r="C393" s="40">
        <f>FanduelExcel!H394</f>
        <v>3500</v>
      </c>
      <c r="D393" s="40">
        <f>FanduelExcel!L394</f>
        <v>0</v>
      </c>
    </row>
    <row r="394" spans="1:4" x14ac:dyDescent="0.25">
      <c r="A394" s="40" t="str">
        <f>FanduelExcel!B395</f>
        <v>C</v>
      </c>
      <c r="B394" s="40" t="str">
        <f>FanduelExcel!C395&amp;" "&amp;FanduelExcel!E395</f>
        <v>Edy Tavares</v>
      </c>
      <c r="C394" s="40">
        <f>FanduelExcel!H395</f>
        <v>3500</v>
      </c>
      <c r="D394" s="40">
        <f>FanduelExcel!L395</f>
        <v>0</v>
      </c>
    </row>
    <row r="395" spans="1:4" x14ac:dyDescent="0.25">
      <c r="A395" s="40" t="str">
        <f>FanduelExcel!B396</f>
        <v>PG</v>
      </c>
      <c r="B395" s="40" t="str">
        <f>FanduelExcel!C396&amp;" "&amp;FanduelExcel!E396</f>
        <v>Malcolm Delaney</v>
      </c>
      <c r="C395" s="40">
        <f>FanduelExcel!H396</f>
        <v>3500</v>
      </c>
      <c r="D395" s="40">
        <f>FanduelExcel!L396</f>
        <v>0</v>
      </c>
    </row>
    <row r="396" spans="1:4" x14ac:dyDescent="0.25">
      <c r="A396" s="40" t="str">
        <f>FanduelExcel!B397</f>
        <v>PG</v>
      </c>
      <c r="B396" s="40" t="str">
        <f>FanduelExcel!C397&amp;" "&amp;FanduelExcel!E397</f>
        <v>Jonathan Gibson</v>
      </c>
      <c r="C396" s="40">
        <f>FanduelExcel!H397</f>
        <v>3500</v>
      </c>
      <c r="D396" s="40">
        <f>FanduelExcel!L397</f>
        <v>0</v>
      </c>
    </row>
    <row r="397" spans="1:4" x14ac:dyDescent="0.25">
      <c r="A397" s="40" t="str">
        <f>FanduelExcel!B398</f>
        <v>C</v>
      </c>
      <c r="B397" s="40" t="str">
        <f>FanduelExcel!C398&amp;" "&amp;FanduelExcel!E398</f>
        <v>Willie Reed</v>
      </c>
      <c r="C397" s="40">
        <f>FanduelExcel!H398</f>
        <v>3500</v>
      </c>
      <c r="D397" s="40">
        <f>FanduelExcel!L398</f>
        <v>0</v>
      </c>
    </row>
    <row r="398" spans="1:4" x14ac:dyDescent="0.25">
      <c r="A398" s="40" t="str">
        <f>FanduelExcel!B399</f>
        <v>SF</v>
      </c>
      <c r="B398" s="40" t="str">
        <f>FanduelExcel!C399&amp;" "&amp;FanduelExcel!E399</f>
        <v>Anthony Brown</v>
      </c>
      <c r="C398" s="40">
        <f>FanduelExcel!H399</f>
        <v>3500</v>
      </c>
      <c r="D398" s="40">
        <f>FanduelExcel!L399</f>
        <v>0</v>
      </c>
    </row>
    <row r="399" spans="1:4" x14ac:dyDescent="0.25">
      <c r="A399" s="40" t="str">
        <f>FanduelExcel!B400</f>
        <v>SF</v>
      </c>
      <c r="B399" s="40" t="str">
        <f>FanduelExcel!C400&amp;" "&amp;FanduelExcel!E400</f>
        <v>Josh Huestis</v>
      </c>
      <c r="C399" s="40">
        <f>FanduelExcel!H400</f>
        <v>3500</v>
      </c>
      <c r="D399" s="40">
        <f>FanduelExcel!L400</f>
        <v>0</v>
      </c>
    </row>
    <row r="400" spans="1:4" x14ac:dyDescent="0.25">
      <c r="A400" s="40" t="str">
        <f>FanduelExcel!B401</f>
        <v>PF</v>
      </c>
      <c r="B400" s="40" t="str">
        <f>FanduelExcel!C401&amp;" "&amp;FanduelExcel!E401</f>
        <v>Dwight Powell</v>
      </c>
      <c r="C400" s="40">
        <f>FanduelExcel!H401</f>
        <v>3500</v>
      </c>
      <c r="D400" s="40">
        <f>FanduelExcel!L401</f>
        <v>0</v>
      </c>
    </row>
    <row r="401" spans="1:4" x14ac:dyDescent="0.25">
      <c r="A401" s="40" t="str">
        <f>FanduelExcel!B402</f>
        <v>PG</v>
      </c>
      <c r="B401" s="40" t="str">
        <f>FanduelExcel!C402&amp;" "&amp;FanduelExcel!E402</f>
        <v>Chasson Randle</v>
      </c>
      <c r="C401" s="40">
        <f>FanduelExcel!H402</f>
        <v>3500</v>
      </c>
      <c r="D401" s="40">
        <f>FanduelExcel!L402</f>
        <v>0</v>
      </c>
    </row>
    <row r="402" spans="1:4" x14ac:dyDescent="0.25">
      <c r="A402" s="40" t="str">
        <f>FanduelExcel!B403</f>
        <v>C</v>
      </c>
      <c r="B402" s="40" t="str">
        <f>FanduelExcel!C403&amp;" "&amp;FanduelExcel!E403</f>
        <v>Rakeem Christmas</v>
      </c>
      <c r="C402" s="40">
        <f>FanduelExcel!H403</f>
        <v>3500</v>
      </c>
      <c r="D402" s="40">
        <f>FanduelExcel!L403</f>
        <v>0</v>
      </c>
    </row>
    <row r="403" spans="1:4" x14ac:dyDescent="0.25">
      <c r="A403" s="40" t="str">
        <f>FanduelExcel!B404</f>
        <v>SG</v>
      </c>
      <c r="B403" s="40" t="str">
        <f>FanduelExcel!C404&amp;" "&amp;FanduelExcel!E404</f>
        <v>Langston Galloway</v>
      </c>
      <c r="C403" s="40">
        <f>FanduelExcel!H404</f>
        <v>3500</v>
      </c>
      <c r="D403" s="40">
        <f>FanduelExcel!L404</f>
        <v>0</v>
      </c>
    </row>
    <row r="404" spans="1:4" x14ac:dyDescent="0.25">
      <c r="A404" s="40" t="str">
        <f>FanduelExcel!B405</f>
        <v>SG</v>
      </c>
      <c r="B404" s="40" t="str">
        <f>FanduelExcel!C405&amp;" "&amp;FanduelExcel!E405</f>
        <v>Jordan McRae</v>
      </c>
      <c r="C404" s="40">
        <f>FanduelExcel!H405</f>
        <v>3500</v>
      </c>
      <c r="D404" s="40">
        <f>FanduelExcel!L405</f>
        <v>0</v>
      </c>
    </row>
    <row r="405" spans="1:4" x14ac:dyDescent="0.25">
      <c r="A405" s="40" t="str">
        <f>FanduelExcel!B406</f>
        <v>PF</v>
      </c>
      <c r="B405" s="40" t="str">
        <f>FanduelExcel!C406&amp;" "&amp;FanduelExcel!E406</f>
        <v>Jarell Martin</v>
      </c>
      <c r="C405" s="40">
        <f>FanduelExcel!H406</f>
        <v>3500</v>
      </c>
      <c r="D405" s="40">
        <f>FanduelExcel!L406</f>
        <v>0</v>
      </c>
    </row>
    <row r="406" spans="1:4" x14ac:dyDescent="0.25">
      <c r="A406" s="40" t="str">
        <f>FanduelExcel!B407</f>
        <v>PG</v>
      </c>
      <c r="B406" s="40" t="str">
        <f>FanduelExcel!C407&amp;" "&amp;FanduelExcel!E407</f>
        <v>Delon Wright</v>
      </c>
      <c r="C406" s="40">
        <f>FanduelExcel!H407</f>
        <v>3500</v>
      </c>
      <c r="D406" s="40">
        <f>FanduelExcel!L407</f>
        <v>0</v>
      </c>
    </row>
    <row r="407" spans="1:4" x14ac:dyDescent="0.25">
      <c r="A407" s="40" t="str">
        <f>FanduelExcel!B408</f>
        <v>PG</v>
      </c>
      <c r="B407" s="40" t="str">
        <f>FanduelExcel!C408&amp;" "&amp;FanduelExcel!E408</f>
        <v>Isaiah Whitehead</v>
      </c>
      <c r="C407" s="40">
        <f>FanduelExcel!H408</f>
        <v>3500</v>
      </c>
      <c r="D407" s="40">
        <f>FanduelExcel!L408</f>
        <v>0</v>
      </c>
    </row>
    <row r="408" spans="1:4" x14ac:dyDescent="0.25">
      <c r="A408" s="40" t="str">
        <f>FanduelExcel!B409</f>
        <v>PF</v>
      </c>
      <c r="B408" s="40" t="str">
        <f>FanduelExcel!C409&amp;" "&amp;FanduelExcel!E409</f>
        <v>Henry Ellenson</v>
      </c>
      <c r="C408" s="40">
        <f>FanduelExcel!H409</f>
        <v>3500</v>
      </c>
      <c r="D408" s="40">
        <f>FanduelExcel!L409</f>
        <v>0</v>
      </c>
    </row>
    <row r="409" spans="1:4" x14ac:dyDescent="0.25">
      <c r="A409" s="40" t="str">
        <f>FanduelExcel!B410</f>
        <v>PF</v>
      </c>
      <c r="B409" s="40" t="str">
        <f>FanduelExcel!C410&amp;" "&amp;FanduelExcel!E410</f>
        <v>Richaun Holmes</v>
      </c>
      <c r="C409" s="40">
        <f>FanduelExcel!H410</f>
        <v>3500</v>
      </c>
      <c r="D409" s="40">
        <f>FanduelExcel!L410</f>
        <v>0</v>
      </c>
    </row>
    <row r="410" spans="1:4" x14ac:dyDescent="0.25">
      <c r="A410" s="40" t="str">
        <f>FanduelExcel!B411</f>
        <v>PG</v>
      </c>
      <c r="B410" s="40" t="str">
        <f>FanduelExcel!C411&amp;" "&amp;FanduelExcel!E411</f>
        <v>Ray McCallum</v>
      </c>
      <c r="C410" s="40">
        <f>FanduelExcel!H411</f>
        <v>3500</v>
      </c>
      <c r="D410" s="40">
        <f>FanduelExcel!L411</f>
        <v>0</v>
      </c>
    </row>
    <row r="411" spans="1:4" x14ac:dyDescent="0.25">
      <c r="A411" s="40" t="str">
        <f>FanduelExcel!B412</f>
        <v>C</v>
      </c>
      <c r="B411" s="40" t="str">
        <f>FanduelExcel!C412&amp;" "&amp;FanduelExcel!E412</f>
        <v>Festus Ezeli</v>
      </c>
      <c r="C411" s="40">
        <f>FanduelExcel!H412</f>
        <v>3500</v>
      </c>
      <c r="D411" s="40" t="str">
        <f>FanduelExcel!L412</f>
        <v>O</v>
      </c>
    </row>
    <row r="412" spans="1:4" x14ac:dyDescent="0.25">
      <c r="A412" s="40" t="str">
        <f>FanduelExcel!B413</f>
        <v>PG</v>
      </c>
      <c r="B412" s="40" t="str">
        <f>FanduelExcel!C413&amp;" "&amp;FanduelExcel!E413</f>
        <v>Marcelo Huertas</v>
      </c>
      <c r="C412" s="40">
        <f>FanduelExcel!H413</f>
        <v>3500</v>
      </c>
      <c r="D412" s="40">
        <f>FanduelExcel!L413</f>
        <v>0</v>
      </c>
    </row>
    <row r="413" spans="1:4" x14ac:dyDescent="0.25">
      <c r="A413" s="40" t="str">
        <f>FanduelExcel!B414</f>
        <v>SG</v>
      </c>
      <c r="B413" s="40" t="str">
        <f>FanduelExcel!C414&amp;" "&amp;FanduelExcel!E414</f>
        <v>Darrun Hilliard</v>
      </c>
      <c r="C413" s="40">
        <f>FanduelExcel!H414</f>
        <v>3500</v>
      </c>
      <c r="D413" s="40">
        <f>FanduelExcel!L414</f>
        <v>0</v>
      </c>
    </row>
    <row r="414" spans="1:4" x14ac:dyDescent="0.25">
      <c r="A414" s="40" t="str">
        <f>FanduelExcel!B415</f>
        <v>SG</v>
      </c>
      <c r="B414" s="40" t="str">
        <f>FanduelExcel!C415&amp;" "&amp;FanduelExcel!E415</f>
        <v>Joe Harris</v>
      </c>
      <c r="C414" s="40">
        <f>FanduelExcel!H415</f>
        <v>3500</v>
      </c>
      <c r="D414" s="40">
        <f>FanduelExcel!L415</f>
        <v>0</v>
      </c>
    </row>
    <row r="415" spans="1:4" x14ac:dyDescent="0.25">
      <c r="A415" s="40" t="str">
        <f>FanduelExcel!B416</f>
        <v>SF</v>
      </c>
      <c r="B415" s="40" t="str">
        <f>FanduelExcel!C416&amp;" "&amp;FanduelExcel!E416</f>
        <v>Stanley Johnson</v>
      </c>
      <c r="C415" s="40">
        <f>FanduelExcel!H416</f>
        <v>3500</v>
      </c>
      <c r="D415" s="40">
        <f>FanduelExcel!L416</f>
        <v>0</v>
      </c>
    </row>
    <row r="416" spans="1:4" x14ac:dyDescent="0.25">
      <c r="A416" s="40" t="str">
        <f>FanduelExcel!B417</f>
        <v>SF</v>
      </c>
      <c r="B416" s="40" t="str">
        <f>FanduelExcel!C417&amp;" "&amp;FanduelExcel!E417</f>
        <v>Mike Scott</v>
      </c>
      <c r="C416" s="40">
        <f>FanduelExcel!H417</f>
        <v>3500</v>
      </c>
      <c r="D416" s="40">
        <f>FanduelExcel!L417</f>
        <v>0</v>
      </c>
    </row>
    <row r="417" spans="1:4" x14ac:dyDescent="0.25">
      <c r="A417" s="40" t="str">
        <f>FanduelExcel!B418</f>
        <v>SF</v>
      </c>
      <c r="B417" s="40" t="str">
        <f>FanduelExcel!C418&amp;" "&amp;FanduelExcel!E418</f>
        <v>Dorian Finney-Smith</v>
      </c>
      <c r="C417" s="40">
        <f>FanduelExcel!H418</f>
        <v>3500</v>
      </c>
      <c r="D417" s="40">
        <f>FanduelExcel!L418</f>
        <v>0</v>
      </c>
    </row>
    <row r="418" spans="1:4" x14ac:dyDescent="0.25">
      <c r="A418" s="40">
        <f>FanduelExcel!B419</f>
        <v>0</v>
      </c>
      <c r="B418" s="40" t="str">
        <f>FanduelExcel!C419&amp;" "&amp;FanduelExcel!E419</f>
        <v xml:space="preserve"> </v>
      </c>
      <c r="C418" s="40">
        <f>FanduelExcel!H419</f>
        <v>0</v>
      </c>
      <c r="D418" s="40">
        <f>FanduelExcel!L419</f>
        <v>0</v>
      </c>
    </row>
    <row r="419" spans="1:4" x14ac:dyDescent="0.25">
      <c r="A419" s="40">
        <f>FanduelExcel!B420</f>
        <v>0</v>
      </c>
      <c r="B419" s="40" t="str">
        <f>FanduelExcel!C420&amp;" "&amp;FanduelExcel!E420</f>
        <v xml:space="preserve"> </v>
      </c>
      <c r="C419" s="40">
        <f>FanduelExcel!H420</f>
        <v>0</v>
      </c>
      <c r="D419" s="40">
        <f>FanduelExcel!L420</f>
        <v>0</v>
      </c>
    </row>
    <row r="420" spans="1:4" x14ac:dyDescent="0.25">
      <c r="A420" s="40">
        <f>FanduelExcel!B421</f>
        <v>0</v>
      </c>
      <c r="B420" s="40" t="str">
        <f>FanduelExcel!C421&amp;" "&amp;FanduelExcel!E421</f>
        <v xml:space="preserve"> </v>
      </c>
      <c r="C420" s="40">
        <f>FanduelExcel!H421</f>
        <v>0</v>
      </c>
      <c r="D420" s="40">
        <f>FanduelExcel!L421</f>
        <v>0</v>
      </c>
    </row>
    <row r="421" spans="1:4" x14ac:dyDescent="0.25">
      <c r="A421" s="40">
        <f>FanduelExcel!B422</f>
        <v>0</v>
      </c>
      <c r="B421" s="40" t="str">
        <f>FanduelExcel!C422&amp;" "&amp;FanduelExcel!E422</f>
        <v xml:space="preserve"> </v>
      </c>
      <c r="C421" s="40">
        <f>FanduelExcel!H422</f>
        <v>0</v>
      </c>
      <c r="D421" s="40">
        <f>FanduelExcel!L422</f>
        <v>0</v>
      </c>
    </row>
    <row r="422" spans="1:4" x14ac:dyDescent="0.25">
      <c r="A422" s="40">
        <f>FanduelExcel!B423</f>
        <v>0</v>
      </c>
      <c r="B422" s="40" t="str">
        <f>FanduelExcel!C423&amp;" "&amp;FanduelExcel!E423</f>
        <v xml:space="preserve"> </v>
      </c>
      <c r="C422" s="40">
        <f>FanduelExcel!H423</f>
        <v>0</v>
      </c>
      <c r="D422" s="40">
        <f>FanduelExcel!L423</f>
        <v>0</v>
      </c>
    </row>
    <row r="423" spans="1:4" x14ac:dyDescent="0.25">
      <c r="A423" s="40">
        <f>FanduelExcel!B424</f>
        <v>0</v>
      </c>
      <c r="B423" s="40" t="str">
        <f>FanduelExcel!C424&amp;" "&amp;FanduelExcel!E424</f>
        <v xml:space="preserve"> </v>
      </c>
      <c r="C423" s="40">
        <f>FanduelExcel!H424</f>
        <v>0</v>
      </c>
      <c r="D423" s="40">
        <f>FanduelExcel!L424</f>
        <v>0</v>
      </c>
    </row>
    <row r="424" spans="1:4" x14ac:dyDescent="0.25">
      <c r="A424" s="40">
        <f>FanduelExcel!B425</f>
        <v>0</v>
      </c>
      <c r="B424" s="40" t="str">
        <f>FanduelExcel!C425&amp;" "&amp;FanduelExcel!E425</f>
        <v xml:space="preserve"> </v>
      </c>
      <c r="C424" s="40">
        <f>FanduelExcel!H425</f>
        <v>0</v>
      </c>
      <c r="D424" s="40">
        <f>FanduelExcel!L425</f>
        <v>0</v>
      </c>
    </row>
    <row r="425" spans="1:4" x14ac:dyDescent="0.25">
      <c r="A425" s="40">
        <f>FanduelExcel!B426</f>
        <v>0</v>
      </c>
      <c r="B425" s="40" t="str">
        <f>FanduelExcel!C426&amp;" "&amp;FanduelExcel!E426</f>
        <v xml:space="preserve"> </v>
      </c>
      <c r="C425" s="40">
        <f>FanduelExcel!H426</f>
        <v>0</v>
      </c>
      <c r="D425" s="40">
        <f>FanduelExcel!L426</f>
        <v>0</v>
      </c>
    </row>
    <row r="426" spans="1:4" x14ac:dyDescent="0.25">
      <c r="A426" s="40">
        <f>FanduelExcel!B427</f>
        <v>0</v>
      </c>
      <c r="B426" s="40" t="str">
        <f>FanduelExcel!C427&amp;" "&amp;FanduelExcel!E427</f>
        <v xml:space="preserve"> </v>
      </c>
      <c r="C426" s="40">
        <f>FanduelExcel!H427</f>
        <v>0</v>
      </c>
      <c r="D426" s="40">
        <f>FanduelExcel!L427</f>
        <v>0</v>
      </c>
    </row>
    <row r="427" spans="1:4" x14ac:dyDescent="0.25">
      <c r="A427" s="40">
        <f>FanduelExcel!B428</f>
        <v>0</v>
      </c>
      <c r="B427" s="40" t="str">
        <f>FanduelExcel!C428&amp;" "&amp;FanduelExcel!E428</f>
        <v xml:space="preserve"> </v>
      </c>
      <c r="C427" s="40">
        <f>FanduelExcel!H428</f>
        <v>0</v>
      </c>
      <c r="D427" s="40">
        <f>FanduelExcel!L428</f>
        <v>0</v>
      </c>
    </row>
    <row r="428" spans="1:4" x14ac:dyDescent="0.25">
      <c r="A428" s="40">
        <f>FanduelExcel!B429</f>
        <v>0</v>
      </c>
      <c r="B428" s="40" t="str">
        <f>FanduelExcel!C429&amp;" "&amp;FanduelExcel!E429</f>
        <v xml:space="preserve"> </v>
      </c>
      <c r="C428" s="40">
        <f>FanduelExcel!H429</f>
        <v>0</v>
      </c>
      <c r="D428" s="40">
        <f>FanduelExcel!L429</f>
        <v>0</v>
      </c>
    </row>
    <row r="429" spans="1:4" x14ac:dyDescent="0.25">
      <c r="A429" s="40">
        <f>FanduelExcel!B430</f>
        <v>0</v>
      </c>
      <c r="B429" s="40" t="str">
        <f>FanduelExcel!C430&amp;" "&amp;FanduelExcel!E430</f>
        <v xml:space="preserve"> </v>
      </c>
      <c r="C429" s="40">
        <f>FanduelExcel!H430</f>
        <v>0</v>
      </c>
      <c r="D429" s="40">
        <f>FanduelExcel!L430</f>
        <v>0</v>
      </c>
    </row>
    <row r="430" spans="1:4" x14ac:dyDescent="0.25">
      <c r="A430" s="40">
        <f>FanduelExcel!B431</f>
        <v>0</v>
      </c>
      <c r="B430" s="40" t="str">
        <f>FanduelExcel!C431&amp;" "&amp;FanduelExcel!E431</f>
        <v xml:space="preserve"> </v>
      </c>
      <c r="C430" s="40">
        <f>FanduelExcel!H431</f>
        <v>0</v>
      </c>
      <c r="D430" s="40">
        <f>FanduelExcel!L431</f>
        <v>0</v>
      </c>
    </row>
    <row r="431" spans="1:4" x14ac:dyDescent="0.25">
      <c r="A431" s="40">
        <f>FanduelExcel!B432</f>
        <v>0</v>
      </c>
      <c r="B431" s="40" t="str">
        <f>FanduelExcel!C432&amp;" "&amp;FanduelExcel!E432</f>
        <v xml:space="preserve"> </v>
      </c>
      <c r="C431" s="40">
        <f>FanduelExcel!H432</f>
        <v>0</v>
      </c>
      <c r="D431" s="40">
        <f>FanduelExcel!L432</f>
        <v>0</v>
      </c>
    </row>
    <row r="432" spans="1:4" x14ac:dyDescent="0.25">
      <c r="A432" s="40">
        <f>FanduelExcel!B433</f>
        <v>0</v>
      </c>
      <c r="B432" s="40" t="str">
        <f>FanduelExcel!C433&amp;" "&amp;FanduelExcel!E433</f>
        <v xml:space="preserve"> </v>
      </c>
      <c r="C432" s="40">
        <f>FanduelExcel!H433</f>
        <v>0</v>
      </c>
      <c r="D432" s="40">
        <f>FanduelExcel!L433</f>
        <v>0</v>
      </c>
    </row>
    <row r="433" spans="1:4" x14ac:dyDescent="0.25">
      <c r="A433" s="40">
        <f>FanduelExcel!B434</f>
        <v>0</v>
      </c>
      <c r="B433" s="40" t="str">
        <f>FanduelExcel!C434&amp;" "&amp;FanduelExcel!E434</f>
        <v xml:space="preserve"> </v>
      </c>
      <c r="C433" s="40">
        <f>FanduelExcel!H434</f>
        <v>0</v>
      </c>
      <c r="D433" s="40">
        <f>FanduelExcel!L434</f>
        <v>0</v>
      </c>
    </row>
    <row r="434" spans="1:4" x14ac:dyDescent="0.25">
      <c r="A434" s="40">
        <f>FanduelExcel!B435</f>
        <v>0</v>
      </c>
      <c r="B434" s="40" t="str">
        <f>FanduelExcel!C435&amp;" "&amp;FanduelExcel!E435</f>
        <v xml:space="preserve"> </v>
      </c>
      <c r="C434" s="40">
        <f>FanduelExcel!H435</f>
        <v>0</v>
      </c>
      <c r="D434" s="40">
        <f>FanduelExcel!L435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20"/>
  <sheetViews>
    <sheetView workbookViewId="0">
      <selection activeCell="G8" sqref="G8"/>
    </sheetView>
  </sheetViews>
  <sheetFormatPr defaultRowHeight="15" x14ac:dyDescent="0.25"/>
  <cols>
    <col min="2" max="2" width="22.7109375" bestFit="1" customWidth="1"/>
    <col min="7" max="7" width="17.7109375" customWidth="1"/>
  </cols>
  <sheetData>
    <row r="1" spans="1:7" x14ac:dyDescent="0.25">
      <c r="A1" t="str">
        <f>FanduelExcel!B2</f>
        <v>C</v>
      </c>
      <c r="B1" t="str">
        <f>FanduelExcel!C2&amp;" "&amp;FanduelExcel!E2</f>
        <v>DeMarcus Cousins</v>
      </c>
      <c r="C1">
        <v>66.400000000000006</v>
      </c>
      <c r="D1">
        <f>VLOOKUP(B1,FanduelExcelSub!$B$1:$C$434,2, FALSE)</f>
        <v>11200</v>
      </c>
      <c r="E1">
        <f>VLOOKUP(B1,MaxData!$A$1:$B$373, 2,FALSE)</f>
        <v>66.400000000000006</v>
      </c>
      <c r="F1">
        <f>VLOOKUP(B1,FanduelExcelSub!$B$1:$D$434,3, FALSE)</f>
        <v>0</v>
      </c>
    </row>
    <row r="2" spans="1:7" x14ac:dyDescent="0.25">
      <c r="A2" s="40" t="str">
        <f>FanduelExcel!B3</f>
        <v>SG</v>
      </c>
      <c r="B2" s="40" t="str">
        <f>FanduelExcel!C3&amp;" "&amp;FanduelExcel!E3</f>
        <v>Giannis Antetokounmpo</v>
      </c>
      <c r="C2">
        <v>64.599999999999994</v>
      </c>
      <c r="D2" s="40">
        <f>VLOOKUP(B2,FanduelExcelSub!$B$1:$C$434,2, FALSE)</f>
        <v>11200</v>
      </c>
      <c r="E2" s="40">
        <f>VLOOKUP(B2,MaxData!$A$1:$B$373, 2,FALSE)</f>
        <v>64.599999999999994</v>
      </c>
      <c r="F2" s="40">
        <f>VLOOKUP(B2,FanduelExcelSub!$B$1:$D$434,3, FALSE)</f>
        <v>0</v>
      </c>
    </row>
    <row r="3" spans="1:7" x14ac:dyDescent="0.25">
      <c r="A3" s="40" t="str">
        <f>FanduelExcel!B4</f>
        <v>PF</v>
      </c>
      <c r="B3" s="40" t="str">
        <f>FanduelExcel!C4&amp;" "&amp;FanduelExcel!E4</f>
        <v>Anthony Davis</v>
      </c>
      <c r="C3">
        <v>62.6</v>
      </c>
      <c r="D3" s="40">
        <f>VLOOKUP(B3,FanduelExcelSub!$B$1:$C$434,2, FALSE)</f>
        <v>10900</v>
      </c>
      <c r="E3" s="40">
        <f>VLOOKUP(B3,MaxData!$A$1:$B$373, 2,FALSE)</f>
        <v>62.6</v>
      </c>
      <c r="F3" s="40">
        <f>VLOOKUP(B3,FanduelExcelSub!$B$1:$D$434,3, FALSE)</f>
        <v>0</v>
      </c>
      <c r="G3" t="s">
        <v>1382</v>
      </c>
    </row>
    <row r="4" spans="1:7" x14ac:dyDescent="0.25">
      <c r="A4" s="40" t="str">
        <f>FanduelExcel!B5</f>
        <v>C</v>
      </c>
      <c r="B4" s="40" t="str">
        <f>FanduelExcel!C5&amp;" "&amp;FanduelExcel!E5</f>
        <v>Karl-Anthony Towns</v>
      </c>
      <c r="C4">
        <v>52.3</v>
      </c>
      <c r="D4" s="40">
        <f>VLOOKUP(B4,FanduelExcelSub!$B$1:$C$434,2, FALSE)</f>
        <v>10700</v>
      </c>
      <c r="E4" s="40">
        <f>VLOOKUP(B4,MaxData!$A$1:$B$373, 2,FALSE)</f>
        <v>52.3</v>
      </c>
      <c r="F4" s="40">
        <f>VLOOKUP(B4,FanduelExcelSub!$B$1:$D$434,3, FALSE)</f>
        <v>0</v>
      </c>
    </row>
    <row r="5" spans="1:7" x14ac:dyDescent="0.25">
      <c r="A5" s="40" t="str">
        <f>FanduelExcel!B8</f>
        <v>PF</v>
      </c>
      <c r="B5" s="40" t="str">
        <f>FanduelExcel!C8&amp;" "&amp;FanduelExcel!E8</f>
        <v>Nikola Jokic</v>
      </c>
      <c r="C5">
        <v>60.3</v>
      </c>
      <c r="D5" s="40">
        <f>VLOOKUP(B5,FanduelExcelSub!$B$1:$C$434,2, FALSE)</f>
        <v>9900</v>
      </c>
      <c r="E5" s="40">
        <f>VLOOKUP(B5,MaxData!$A$1:$B$373, 2,FALSE)</f>
        <v>60.3</v>
      </c>
      <c r="F5" s="40">
        <f>VLOOKUP(B5,FanduelExcelSub!$B$1:$D$434,3, FALSE)</f>
        <v>0</v>
      </c>
    </row>
    <row r="6" spans="1:7" x14ac:dyDescent="0.25">
      <c r="A6" s="40" t="str">
        <f>FanduelExcel!B7</f>
        <v>SF</v>
      </c>
      <c r="B6" s="40" t="str">
        <f>FanduelExcel!C7&amp;" "&amp;FanduelExcel!E7</f>
        <v>Kevin Durant</v>
      </c>
      <c r="C6">
        <v>52.6</v>
      </c>
      <c r="D6" s="40">
        <f>VLOOKUP(B6,FanduelExcelSub!$B$1:$C$434,2, FALSE)</f>
        <v>10300</v>
      </c>
      <c r="E6" s="40">
        <f>VLOOKUP(B6,MaxData!$A$1:$B$373, 2,FALSE)</f>
        <v>52.6</v>
      </c>
      <c r="F6" s="40">
        <f>VLOOKUP(B6,FanduelExcelSub!$B$1:$D$434,3, FALSE)</f>
        <v>0</v>
      </c>
    </row>
    <row r="7" spans="1:7" x14ac:dyDescent="0.25">
      <c r="A7" s="40" t="str">
        <f>FanduelExcel!B14</f>
        <v>C</v>
      </c>
      <c r="B7" s="40" t="str">
        <f>FanduelExcel!C14&amp;" "&amp;FanduelExcel!E14</f>
        <v>Andre Drummond</v>
      </c>
      <c r="C7">
        <v>55.4</v>
      </c>
      <c r="D7" s="40">
        <f>VLOOKUP(B7,FanduelExcelSub!$B$1:$C$434,2, FALSE)</f>
        <v>8700</v>
      </c>
      <c r="E7" s="40">
        <f>VLOOKUP(B7,MaxData!$A$1:$B$373, 2,FALSE)</f>
        <v>55.4</v>
      </c>
      <c r="F7" s="40">
        <f>VLOOKUP(B7,FanduelExcelSub!$B$1:$D$434,3, FALSE)</f>
        <v>0</v>
      </c>
    </row>
    <row r="8" spans="1:7" x14ac:dyDescent="0.25">
      <c r="A8" s="40" t="str">
        <f>FanduelExcel!B28</f>
        <v>C</v>
      </c>
      <c r="B8" s="40" t="str">
        <f>FanduelExcel!C28&amp;" "&amp;FanduelExcel!E28</f>
        <v>Brook Lopez</v>
      </c>
      <c r="C8">
        <v>60.3</v>
      </c>
      <c r="D8" s="40">
        <f>VLOOKUP(B8,FanduelExcelSub!$B$1:$C$434,2, FALSE)</f>
        <v>7200</v>
      </c>
      <c r="E8" s="40">
        <f>VLOOKUP(B8,MaxData!$A$1:$B$373, 2,FALSE)</f>
        <v>60.3</v>
      </c>
      <c r="F8" s="40">
        <f>VLOOKUP(B8,FanduelExcelSub!$B$1:$D$434,3, FALSE)</f>
        <v>0</v>
      </c>
    </row>
    <row r="9" spans="1:7" x14ac:dyDescent="0.25">
      <c r="A9" s="40" t="str">
        <f>FanduelExcel!B6</f>
        <v>PG</v>
      </c>
      <c r="B9" s="40" t="str">
        <f>FanduelExcel!C6&amp;" "&amp;FanduelExcel!E6</f>
        <v>John Wall</v>
      </c>
      <c r="C9">
        <v>58.1</v>
      </c>
      <c r="D9" s="40">
        <f>VLOOKUP(B9,FanduelExcelSub!$B$1:$C$434,2, FALSE)</f>
        <v>10500</v>
      </c>
      <c r="E9" s="40">
        <f>VLOOKUP(B9,MaxData!$A$1:$B$373, 2,FALSE)</f>
        <v>58.1</v>
      </c>
      <c r="F9" s="40">
        <f>VLOOKUP(B9,FanduelExcelSub!$B$1:$D$434,3, FALSE)</f>
        <v>0</v>
      </c>
    </row>
    <row r="10" spans="1:7" x14ac:dyDescent="0.25">
      <c r="A10" s="40" t="str">
        <f>FanduelExcel!B44</f>
        <v>PG</v>
      </c>
      <c r="B10" s="40" t="str">
        <f>FanduelExcel!C44&amp;" "&amp;FanduelExcel!E44</f>
        <v>Derrick Rose</v>
      </c>
      <c r="C10">
        <v>41.3</v>
      </c>
      <c r="D10" s="40">
        <f>VLOOKUP(B10,FanduelExcelSub!$B$1:$C$434,2, FALSE)</f>
        <v>6200</v>
      </c>
      <c r="E10" s="40">
        <f>VLOOKUP(B10,MaxData!$A$1:$B$373, 2,FALSE)</f>
        <v>41.3</v>
      </c>
      <c r="F10" s="40">
        <f>VLOOKUP(B10,FanduelExcelSub!$B$1:$D$434,3, FALSE)</f>
        <v>0</v>
      </c>
    </row>
    <row r="11" spans="1:7" x14ac:dyDescent="0.25">
      <c r="A11" s="40" t="str">
        <f>FanduelExcel!B12</f>
        <v>C</v>
      </c>
      <c r="B11" s="40" t="str">
        <f>FanduelExcel!C12&amp;" "&amp;FanduelExcel!E12</f>
        <v>Hassan Whiteside</v>
      </c>
      <c r="C11">
        <v>57</v>
      </c>
      <c r="D11" s="40">
        <f>VLOOKUP(B11,FanduelExcelSub!$B$1:$C$434,2, FALSE)</f>
        <v>9100</v>
      </c>
      <c r="E11" s="40">
        <f>VLOOKUP(B11,MaxData!$A$1:$B$373, 2,FALSE)</f>
        <v>57</v>
      </c>
      <c r="F11" s="40">
        <f>VLOOKUP(B11,FanduelExcelSub!$B$1:$D$434,3, FALSE)</f>
        <v>0</v>
      </c>
    </row>
    <row r="12" spans="1:7" x14ac:dyDescent="0.25">
      <c r="A12" s="40" t="str">
        <f>FanduelExcel!B15</f>
        <v>C</v>
      </c>
      <c r="B12" s="40" t="str">
        <f>FanduelExcel!C15&amp;" "&amp;FanduelExcel!E15</f>
        <v>Marc Gasol</v>
      </c>
      <c r="C12">
        <v>52.8</v>
      </c>
      <c r="D12" s="40">
        <f>VLOOKUP(B12,FanduelExcelSub!$B$1:$C$434,2, FALSE)</f>
        <v>8400</v>
      </c>
      <c r="E12" s="40">
        <f>VLOOKUP(B12,MaxData!$A$1:$B$373, 2,FALSE)</f>
        <v>52.8</v>
      </c>
      <c r="F12" s="40">
        <f>VLOOKUP(B12,FanduelExcelSub!$B$1:$D$434,3, FALSE)</f>
        <v>0</v>
      </c>
    </row>
    <row r="13" spans="1:7" x14ac:dyDescent="0.25">
      <c r="A13" s="40" t="str">
        <f>FanduelExcel!B41</f>
        <v>PG</v>
      </c>
      <c r="B13" s="40" t="str">
        <f>FanduelExcel!C41&amp;" "&amp;FanduelExcel!E41</f>
        <v>Jeremy Lin</v>
      </c>
      <c r="C13">
        <v>0</v>
      </c>
      <c r="D13" s="40">
        <f>VLOOKUP(B13,FanduelExcelSub!$B$1:$C$434,2, FALSE)</f>
        <v>6400</v>
      </c>
      <c r="E13" s="40" t="e">
        <f>VLOOKUP(B13,MaxData!$A$1:$B$373, 2,FALSE)</f>
        <v>#N/A</v>
      </c>
      <c r="F13" s="40" t="str">
        <f>VLOOKUP(B13,FanduelExcelSub!$B$1:$D$434,3, FALSE)</f>
        <v>O</v>
      </c>
    </row>
    <row r="14" spans="1:7" x14ac:dyDescent="0.25">
      <c r="A14" s="40" t="str">
        <f>FanduelExcel!B16</f>
        <v>PG</v>
      </c>
      <c r="B14" s="40" t="str">
        <f>FanduelExcel!C16&amp;" "&amp;FanduelExcel!E16</f>
        <v>Eric Bledsoe</v>
      </c>
      <c r="C14">
        <v>57.5</v>
      </c>
      <c r="D14" s="40">
        <f>VLOOKUP(B14,FanduelExcelSub!$B$1:$C$434,2, FALSE)</f>
        <v>8300</v>
      </c>
      <c r="E14" s="40">
        <f>VLOOKUP(B14,MaxData!$A$1:$B$373, 2,FALSE)</f>
        <v>57.5</v>
      </c>
      <c r="F14" s="40">
        <f>VLOOKUP(B14,FanduelExcelSub!$B$1:$D$434,3, FALSE)</f>
        <v>0</v>
      </c>
    </row>
    <row r="15" spans="1:7" x14ac:dyDescent="0.25">
      <c r="A15" s="40" t="str">
        <f>FanduelExcel!B11</f>
        <v>PG</v>
      </c>
      <c r="B15" s="40" t="str">
        <f>FanduelExcel!C11&amp;" "&amp;FanduelExcel!E11</f>
        <v>Stephen Curry</v>
      </c>
      <c r="C15">
        <v>62</v>
      </c>
      <c r="D15" s="40">
        <f>VLOOKUP(B15,FanduelExcelSub!$B$1:$C$434,2, FALSE)</f>
        <v>9500</v>
      </c>
      <c r="E15" s="40">
        <f>VLOOKUP(B15,MaxData!$A$1:$B$373, 2,FALSE)</f>
        <v>62</v>
      </c>
      <c r="F15" s="40">
        <f>VLOOKUP(B15,FanduelExcelSub!$B$1:$D$434,3, FALSE)</f>
        <v>0</v>
      </c>
    </row>
    <row r="16" spans="1:7" x14ac:dyDescent="0.25">
      <c r="A16" s="40" t="str">
        <f>FanduelExcel!B13</f>
        <v>SF</v>
      </c>
      <c r="B16" s="40" t="str">
        <f>FanduelExcel!C13&amp;" "&amp;FanduelExcel!E13</f>
        <v>Paul George</v>
      </c>
      <c r="C16">
        <v>48.7</v>
      </c>
      <c r="D16" s="40">
        <f>VLOOKUP(B16,FanduelExcelSub!$B$1:$C$434,2, FALSE)</f>
        <v>8700</v>
      </c>
      <c r="E16" s="40">
        <f>VLOOKUP(B16,MaxData!$A$1:$B$373, 2,FALSE)</f>
        <v>48.7</v>
      </c>
      <c r="F16" s="40">
        <f>VLOOKUP(B16,FanduelExcelSub!$B$1:$D$434,3, FALSE)</f>
        <v>0</v>
      </c>
    </row>
    <row r="17" spans="1:6" x14ac:dyDescent="0.25">
      <c r="A17" s="40" t="str">
        <f>FanduelExcel!B19</f>
        <v>SG</v>
      </c>
      <c r="B17" s="40" t="str">
        <f>FanduelExcel!C19&amp;" "&amp;FanduelExcel!E19</f>
        <v>Dwyane Wade</v>
      </c>
      <c r="C17">
        <v>48.7</v>
      </c>
      <c r="D17" s="40">
        <f>VLOOKUP(B17,FanduelExcelSub!$B$1:$C$434,2, FALSE)</f>
        <v>8000</v>
      </c>
      <c r="E17" s="40">
        <f>VLOOKUP(B17,MaxData!$A$1:$B$373, 2,FALSE)</f>
        <v>48.7</v>
      </c>
      <c r="F17" s="40" t="str">
        <f>VLOOKUP(B17,FanduelExcelSub!$B$1:$D$434,3, FALSE)</f>
        <v>GTD</v>
      </c>
    </row>
    <row r="18" spans="1:6" x14ac:dyDescent="0.25">
      <c r="A18" s="40" t="str">
        <f>FanduelExcel!B27</f>
        <v>PG</v>
      </c>
      <c r="B18" s="40" t="str">
        <f>FanduelExcel!C27&amp;" "&amp;FanduelExcel!E27</f>
        <v>Mike Conley</v>
      </c>
      <c r="C18">
        <v>43.5</v>
      </c>
      <c r="D18" s="40">
        <f>VLOOKUP(B18,FanduelExcelSub!$B$1:$C$434,2, FALSE)</f>
        <v>7400</v>
      </c>
      <c r="E18" s="40">
        <f>VLOOKUP(B18,MaxData!$A$1:$B$373, 2,FALSE)</f>
        <v>43.5</v>
      </c>
      <c r="F18" s="40">
        <f>VLOOKUP(B18,FanduelExcelSub!$B$1:$D$434,3, FALSE)</f>
        <v>0</v>
      </c>
    </row>
    <row r="19" spans="1:6" x14ac:dyDescent="0.25">
      <c r="A19" s="40" t="str">
        <f>FanduelExcel!B23</f>
        <v>PG</v>
      </c>
      <c r="B19" s="40" t="str">
        <f>FanduelExcel!C23&amp;" "&amp;FanduelExcel!E23</f>
        <v>Jeff Teague</v>
      </c>
      <c r="C19">
        <v>49</v>
      </c>
      <c r="D19" s="40">
        <f>VLOOKUP(B19,FanduelExcelSub!$B$1:$C$434,2, FALSE)</f>
        <v>7700</v>
      </c>
      <c r="E19" s="40">
        <f>VLOOKUP(B19,MaxData!$A$1:$B$373, 2,FALSE)</f>
        <v>49</v>
      </c>
      <c r="F19" s="40">
        <f>VLOOKUP(B19,FanduelExcelSub!$B$1:$D$434,3, FALSE)</f>
        <v>0</v>
      </c>
    </row>
    <row r="20" spans="1:6" x14ac:dyDescent="0.25">
      <c r="A20" s="40" t="str">
        <f>FanduelExcel!B10</f>
        <v>SF</v>
      </c>
      <c r="B20" s="40" t="str">
        <f>FanduelExcel!C10&amp;" "&amp;FanduelExcel!E10</f>
        <v>Jimmy Butler</v>
      </c>
      <c r="C20">
        <v>45.3</v>
      </c>
      <c r="D20" s="40">
        <f>VLOOKUP(B20,FanduelExcelSub!$B$1:$C$434,2, FALSE)</f>
        <v>9500</v>
      </c>
      <c r="E20" s="40">
        <f>VLOOKUP(B20,MaxData!$A$1:$B$373, 2,FALSE)</f>
        <v>45.3</v>
      </c>
      <c r="F20" s="40" t="str">
        <f>VLOOKUP(B20,FanduelExcelSub!$B$1:$D$434,3, FALSE)</f>
        <v>GTD</v>
      </c>
    </row>
    <row r="21" spans="1:6" x14ac:dyDescent="0.25">
      <c r="A21" s="40" t="str">
        <f>FanduelExcel!B9</f>
        <v>SF</v>
      </c>
      <c r="B21" s="40" t="str">
        <f>FanduelExcel!C9&amp;" "&amp;FanduelExcel!E9</f>
        <v>Kawhi Leonard</v>
      </c>
      <c r="C21">
        <v>57.8</v>
      </c>
      <c r="D21" s="40">
        <f>VLOOKUP(B21,FanduelExcelSub!$B$1:$C$434,2, FALSE)</f>
        <v>9600</v>
      </c>
      <c r="E21" s="40">
        <f>VLOOKUP(B21,MaxData!$A$1:$B$373, 2,FALSE)</f>
        <v>57.8</v>
      </c>
      <c r="F21" s="40">
        <f>VLOOKUP(B21,FanduelExcelSub!$B$1:$D$434,3, FALSE)</f>
        <v>0</v>
      </c>
    </row>
    <row r="22" spans="1:6" x14ac:dyDescent="0.25">
      <c r="A22" s="40" t="str">
        <f>FanduelExcel!B46</f>
        <v>SG</v>
      </c>
      <c r="B22" s="40" t="str">
        <f>FanduelExcel!C46&amp;" "&amp;FanduelExcel!E46</f>
        <v>Lou Williams</v>
      </c>
      <c r="C22">
        <v>42.7</v>
      </c>
      <c r="D22" s="40">
        <f>VLOOKUP(B22,FanduelExcelSub!$B$1:$C$434,2, FALSE)</f>
        <v>6200</v>
      </c>
      <c r="E22" s="40">
        <f>VLOOKUP(B22,MaxData!$A$1:$B$373, 2,FALSE)</f>
        <v>42.7</v>
      </c>
      <c r="F22" s="40">
        <f>VLOOKUP(B22,FanduelExcelSub!$B$1:$D$434,3, FALSE)</f>
        <v>0</v>
      </c>
    </row>
    <row r="23" spans="1:6" x14ac:dyDescent="0.25">
      <c r="A23" s="40" t="str">
        <f>FanduelExcel!B33</f>
        <v>SF</v>
      </c>
      <c r="B23" s="40" t="str">
        <f>FanduelExcel!C33&amp;" "&amp;FanduelExcel!E33</f>
        <v>Danilo Gallinari</v>
      </c>
      <c r="C23">
        <v>0</v>
      </c>
      <c r="D23" s="40">
        <f>VLOOKUP(B23,FanduelExcelSub!$B$1:$C$434,2, FALSE)</f>
        <v>6900</v>
      </c>
      <c r="E23" s="40" t="e">
        <f>VLOOKUP(B23,MaxData!$A$1:$B$373, 2,FALSE)</f>
        <v>#N/A</v>
      </c>
      <c r="F23" s="40" t="str">
        <f>VLOOKUP(B23,FanduelExcelSub!$B$1:$D$434,3, FALSE)</f>
        <v>O</v>
      </c>
    </row>
    <row r="24" spans="1:6" x14ac:dyDescent="0.25">
      <c r="A24" s="40" t="str">
        <f>FanduelExcel!B29</f>
        <v>SG</v>
      </c>
      <c r="B24" s="40" t="str">
        <f>FanduelExcel!C29&amp;" "&amp;FanduelExcel!E29</f>
        <v>Dion Waiters</v>
      </c>
      <c r="C24">
        <v>43.3</v>
      </c>
      <c r="D24" s="40">
        <f>VLOOKUP(B24,FanduelExcelSub!$B$1:$C$434,2, FALSE)</f>
        <v>7100</v>
      </c>
      <c r="E24" s="40">
        <f>VLOOKUP(B24,MaxData!$A$1:$B$373, 2,FALSE)</f>
        <v>43.3</v>
      </c>
      <c r="F24" s="40" t="str">
        <f>VLOOKUP(B24,FanduelExcelSub!$B$1:$D$434,3, FALSE)</f>
        <v>GTD</v>
      </c>
    </row>
    <row r="25" spans="1:6" x14ac:dyDescent="0.25">
      <c r="A25" s="40" t="str">
        <f>FanduelExcel!B123</f>
        <v>C</v>
      </c>
      <c r="B25" s="40" t="str">
        <f>FanduelExcel!C123&amp;" "&amp;FanduelExcel!E123</f>
        <v>Ivica Zubac</v>
      </c>
      <c r="C25">
        <v>28.4</v>
      </c>
      <c r="D25" s="40">
        <f>VLOOKUP(B25,FanduelExcelSub!$B$1:$C$434,2, FALSE)</f>
        <v>3800</v>
      </c>
      <c r="E25" s="40">
        <f>VLOOKUP(B25,MaxData!$A$1:$B$373, 2,FALSE)</f>
        <v>28.4</v>
      </c>
      <c r="F25" s="40">
        <f>VLOOKUP(B25,FanduelExcelSub!$B$1:$D$434,3, FALSE)</f>
        <v>0</v>
      </c>
    </row>
    <row r="26" spans="1:6" x14ac:dyDescent="0.25">
      <c r="A26" s="40" t="str">
        <f>FanduelExcel!B40</f>
        <v>PG</v>
      </c>
      <c r="B26" s="40" t="str">
        <f>FanduelExcel!C40&amp;" "&amp;FanduelExcel!E40</f>
        <v>Dennis Schroder</v>
      </c>
      <c r="C26">
        <v>48</v>
      </c>
      <c r="D26" s="40">
        <f>VLOOKUP(B26,FanduelExcelSub!$B$1:$C$434,2, FALSE)</f>
        <v>6500</v>
      </c>
      <c r="E26" s="40">
        <f>VLOOKUP(B26,MaxData!$A$1:$B$373, 2,FALSE)</f>
        <v>48</v>
      </c>
      <c r="F26" s="40">
        <f>VLOOKUP(B26,FanduelExcelSub!$B$1:$D$434,3, FALSE)</f>
        <v>0</v>
      </c>
    </row>
    <row r="27" spans="1:6" x14ac:dyDescent="0.25">
      <c r="A27" s="40" t="str">
        <f>FanduelExcel!B36</f>
        <v>SG</v>
      </c>
      <c r="B27" s="40" t="str">
        <f>FanduelExcel!C36&amp;" "&amp;FanduelExcel!E36</f>
        <v>Klay Thompson</v>
      </c>
      <c r="C27">
        <v>51</v>
      </c>
      <c r="D27" s="40">
        <f>VLOOKUP(B27,FanduelExcelSub!$B$1:$C$434,2, FALSE)</f>
        <v>6800</v>
      </c>
      <c r="E27" s="40">
        <f>VLOOKUP(B27,MaxData!$A$1:$B$373, 2,FALSE)</f>
        <v>51</v>
      </c>
      <c r="F27" s="40">
        <f>VLOOKUP(B27,FanduelExcelSub!$B$1:$D$434,3, FALSE)</f>
        <v>0</v>
      </c>
    </row>
    <row r="28" spans="1:6" x14ac:dyDescent="0.25">
      <c r="A28" s="40" t="str">
        <f>FanduelExcel!B43</f>
        <v>PF</v>
      </c>
      <c r="B28" s="40" t="str">
        <f>FanduelExcel!C43&amp;" "&amp;FanduelExcel!E43</f>
        <v>Zach Randolph</v>
      </c>
      <c r="C28">
        <v>33.5</v>
      </c>
      <c r="D28" s="40">
        <f>VLOOKUP(B28,FanduelExcelSub!$B$1:$C$434,2, FALSE)</f>
        <v>6300</v>
      </c>
      <c r="E28" s="40">
        <f>VLOOKUP(B28,MaxData!$A$1:$B$373, 2,FALSE)</f>
        <v>33.5</v>
      </c>
      <c r="F28" s="40" t="str">
        <f>VLOOKUP(B28,FanduelExcelSub!$B$1:$D$434,3, FALSE)</f>
        <v>GTD</v>
      </c>
    </row>
    <row r="29" spans="1:6" x14ac:dyDescent="0.25">
      <c r="A29" s="40" t="str">
        <f>FanduelExcel!B21</f>
        <v>PG</v>
      </c>
      <c r="B29" s="40" t="str">
        <f>FanduelExcel!C21&amp;" "&amp;FanduelExcel!E21</f>
        <v>Jrue Holiday</v>
      </c>
      <c r="C29">
        <v>55.3</v>
      </c>
      <c r="D29" s="40">
        <f>VLOOKUP(B29,FanduelExcelSub!$B$1:$C$434,2, FALSE)</f>
        <v>7900</v>
      </c>
      <c r="E29" s="40">
        <f>VLOOKUP(B29,MaxData!$A$1:$B$373, 2,FALSE)</f>
        <v>55.3</v>
      </c>
      <c r="F29" s="40">
        <f>VLOOKUP(B29,FanduelExcelSub!$B$1:$D$434,3, FALSE)</f>
        <v>0</v>
      </c>
    </row>
    <row r="30" spans="1:6" x14ac:dyDescent="0.25">
      <c r="A30" s="40" t="str">
        <f>FanduelExcel!B54</f>
        <v>SG</v>
      </c>
      <c r="B30" s="40" t="str">
        <f>FanduelExcel!C54&amp;" "&amp;FanduelExcel!E54</f>
        <v>Will Barton</v>
      </c>
      <c r="C30">
        <v>45.5</v>
      </c>
      <c r="D30" s="40">
        <f>VLOOKUP(B30,FanduelExcelSub!$B$1:$C$434,2, FALSE)</f>
        <v>5800</v>
      </c>
      <c r="E30" s="40">
        <f>VLOOKUP(B30,MaxData!$A$1:$B$373, 2,FALSE)</f>
        <v>45.5</v>
      </c>
      <c r="F30" s="40">
        <f>VLOOKUP(B30,FanduelExcelSub!$B$1:$D$434,3, FALSE)</f>
        <v>0</v>
      </c>
    </row>
    <row r="31" spans="1:6" x14ac:dyDescent="0.25">
      <c r="A31" s="40" t="str">
        <f>FanduelExcel!B25</f>
        <v>SG</v>
      </c>
      <c r="B31" s="40" t="str">
        <f>FanduelExcel!C25&amp;" "&amp;FanduelExcel!E25</f>
        <v>Bradley Beal</v>
      </c>
      <c r="C31">
        <v>59</v>
      </c>
      <c r="D31" s="40">
        <f>VLOOKUP(B31,FanduelExcelSub!$B$1:$C$434,2, FALSE)</f>
        <v>7500</v>
      </c>
      <c r="E31" s="40">
        <f>VLOOKUP(B31,MaxData!$A$1:$B$373, 2,FALSE)</f>
        <v>59</v>
      </c>
      <c r="F31" s="40">
        <f>VLOOKUP(B31,FanduelExcelSub!$B$1:$D$434,3, FALSE)</f>
        <v>0</v>
      </c>
    </row>
    <row r="32" spans="1:6" x14ac:dyDescent="0.25">
      <c r="A32" s="40" t="str">
        <f>FanduelExcel!B71</f>
        <v>SG</v>
      </c>
      <c r="B32" s="40" t="str">
        <f>FanduelExcel!C71&amp;" "&amp;FanduelExcel!E71</f>
        <v>Gary Harris</v>
      </c>
      <c r="C32">
        <v>31.8</v>
      </c>
      <c r="D32" s="40">
        <f>VLOOKUP(B32,FanduelExcelSub!$B$1:$C$434,2, FALSE)</f>
        <v>5100</v>
      </c>
      <c r="E32" s="40">
        <f>VLOOKUP(B32,MaxData!$A$1:$B$373, 2,FALSE)</f>
        <v>31.8</v>
      </c>
      <c r="F32" s="40">
        <f>VLOOKUP(B32,FanduelExcelSub!$B$1:$D$434,3, FALSE)</f>
        <v>0</v>
      </c>
    </row>
    <row r="33" spans="1:6" x14ac:dyDescent="0.25">
      <c r="A33" s="40" t="str">
        <f>FanduelExcel!B55</f>
        <v>PF</v>
      </c>
      <c r="B33" s="40" t="str">
        <f>FanduelExcel!C55&amp;" "&amp;FanduelExcel!E55</f>
        <v>Julius Randle</v>
      </c>
      <c r="C33">
        <v>31.5</v>
      </c>
      <c r="D33" s="40">
        <f>VLOOKUP(B33,FanduelExcelSub!$B$1:$C$434,2, FALSE)</f>
        <v>5700</v>
      </c>
      <c r="E33" s="40">
        <f>VLOOKUP(B33,MaxData!$A$1:$B$373, 2,FALSE)</f>
        <v>31.5</v>
      </c>
      <c r="F33" s="40">
        <f>VLOOKUP(B33,FanduelExcelSub!$B$1:$D$434,3, FALSE)</f>
        <v>0</v>
      </c>
    </row>
    <row r="34" spans="1:6" x14ac:dyDescent="0.25">
      <c r="A34" s="40" t="str">
        <f>FanduelExcel!B34</f>
        <v>SG</v>
      </c>
      <c r="B34" s="40" t="str">
        <f>FanduelExcel!C34&amp;" "&amp;FanduelExcel!E34</f>
        <v>Devin Booker</v>
      </c>
      <c r="C34">
        <v>43.4</v>
      </c>
      <c r="D34" s="40">
        <f>VLOOKUP(B34,FanduelExcelSub!$B$1:$C$434,2, FALSE)</f>
        <v>6800</v>
      </c>
      <c r="E34" s="40">
        <f>VLOOKUP(B34,MaxData!$A$1:$B$373, 2,FALSE)</f>
        <v>43.4</v>
      </c>
      <c r="F34" s="40">
        <f>VLOOKUP(B34,FanduelExcelSub!$B$1:$D$434,3, FALSE)</f>
        <v>0</v>
      </c>
    </row>
    <row r="35" spans="1:6" x14ac:dyDescent="0.25">
      <c r="A35" s="40" t="str">
        <f>FanduelExcel!B35</f>
        <v>PF</v>
      </c>
      <c r="B35" s="40" t="str">
        <f>FanduelExcel!C35&amp;" "&amp;FanduelExcel!E35</f>
        <v>Kristaps Porzingis</v>
      </c>
      <c r="C35">
        <v>40.200000000000003</v>
      </c>
      <c r="D35" s="40">
        <f>VLOOKUP(B35,FanduelExcelSub!$B$1:$C$434,2, FALSE)</f>
        <v>6800</v>
      </c>
      <c r="E35" s="40">
        <f>VLOOKUP(B35,MaxData!$A$1:$B$373, 2,FALSE)</f>
        <v>40.200000000000003</v>
      </c>
      <c r="F35" s="40">
        <f>VLOOKUP(B35,FanduelExcelSub!$B$1:$D$434,3, FALSE)</f>
        <v>0</v>
      </c>
    </row>
    <row r="36" spans="1:6" x14ac:dyDescent="0.25">
      <c r="A36" s="40" t="str">
        <f>FanduelExcel!B52</f>
        <v>C</v>
      </c>
      <c r="B36" s="40" t="str">
        <f>FanduelExcel!C52&amp;" "&amp;FanduelExcel!E52</f>
        <v>Greg Monroe</v>
      </c>
      <c r="C36">
        <v>48.6</v>
      </c>
      <c r="D36" s="40">
        <f>VLOOKUP(B36,FanduelExcelSub!$B$1:$C$434,2, FALSE)</f>
        <v>5800</v>
      </c>
      <c r="E36" s="40">
        <f>VLOOKUP(B36,MaxData!$A$1:$B$373, 2,FALSE)</f>
        <v>48.6</v>
      </c>
      <c r="F36" s="40">
        <f>VLOOKUP(B36,FanduelExcelSub!$B$1:$D$434,3, FALSE)</f>
        <v>0</v>
      </c>
    </row>
    <row r="37" spans="1:6" x14ac:dyDescent="0.25">
      <c r="A37" s="40" t="str">
        <f>FanduelExcel!B119</f>
        <v>PF</v>
      </c>
      <c r="B37" s="40" t="str">
        <f>FanduelExcel!C119&amp;" "&amp;FanduelExcel!E119</f>
        <v>Marquese Chriss</v>
      </c>
      <c r="C37">
        <v>38.200000000000003</v>
      </c>
      <c r="D37" s="40">
        <f>VLOOKUP(B37,FanduelExcelSub!$B$1:$C$434,2, FALSE)</f>
        <v>3900</v>
      </c>
      <c r="E37" s="40">
        <f>VLOOKUP(B37,MaxData!$A$1:$B$373, 2,FALSE)</f>
        <v>38.200000000000003</v>
      </c>
      <c r="F37" s="40">
        <f>VLOOKUP(B37,FanduelExcelSub!$B$1:$D$434,3, FALSE)</f>
        <v>0</v>
      </c>
    </row>
    <row r="38" spans="1:6" x14ac:dyDescent="0.25">
      <c r="A38" s="40" t="str">
        <f>FanduelExcel!B26</f>
        <v>PF</v>
      </c>
      <c r="B38" s="40" t="str">
        <f>FanduelExcel!C26&amp;" "&amp;FanduelExcel!E26</f>
        <v>LaMarcus Aldridge</v>
      </c>
      <c r="C38">
        <v>35.1</v>
      </c>
      <c r="D38" s="40">
        <f>VLOOKUP(B38,FanduelExcelSub!$B$1:$C$434,2, FALSE)</f>
        <v>7500</v>
      </c>
      <c r="E38" s="40">
        <f>VLOOKUP(B38,MaxData!$A$1:$B$373, 2,FALSE)</f>
        <v>35.1</v>
      </c>
      <c r="F38" s="40">
        <f>VLOOKUP(B38,FanduelExcelSub!$B$1:$D$434,3, FALSE)</f>
        <v>0</v>
      </c>
    </row>
    <row r="39" spans="1:6" x14ac:dyDescent="0.25">
      <c r="A39" s="40" t="str">
        <f>FanduelExcel!B31</f>
        <v>C</v>
      </c>
      <c r="B39" s="40" t="str">
        <f>FanduelExcel!C31&amp;" "&amp;FanduelExcel!E31</f>
        <v>Marcin Gortat</v>
      </c>
      <c r="C39">
        <v>43.3</v>
      </c>
      <c r="D39" s="40">
        <f>VLOOKUP(B39,FanduelExcelSub!$B$1:$C$434,2, FALSE)</f>
        <v>7000</v>
      </c>
      <c r="E39" s="40">
        <f>VLOOKUP(B39,MaxData!$A$1:$B$373, 2,FALSE)</f>
        <v>43.3</v>
      </c>
      <c r="F39" s="40">
        <f>VLOOKUP(B39,FanduelExcelSub!$B$1:$D$434,3, FALSE)</f>
        <v>0</v>
      </c>
    </row>
    <row r="40" spans="1:6" x14ac:dyDescent="0.25">
      <c r="A40" s="40" t="str">
        <f>FanduelExcel!B82</f>
        <v>PF</v>
      </c>
      <c r="B40" s="40" t="str">
        <f>FanduelExcel!C82&amp;" "&amp;FanduelExcel!E82</f>
        <v>JaMychal Green</v>
      </c>
      <c r="C40">
        <v>40.700000000000003</v>
      </c>
      <c r="D40" s="40">
        <f>VLOOKUP(B40,FanduelExcelSub!$B$1:$C$434,2, FALSE)</f>
        <v>4600</v>
      </c>
      <c r="E40" s="40">
        <f>VLOOKUP(B40,MaxData!$A$1:$B$373, 2,FALSE)</f>
        <v>40.700000000000003</v>
      </c>
      <c r="F40" s="40">
        <f>VLOOKUP(B40,FanduelExcelSub!$B$1:$D$434,3, FALSE)</f>
        <v>0</v>
      </c>
    </row>
    <row r="41" spans="1:6" x14ac:dyDescent="0.25">
      <c r="A41" s="40" t="str">
        <f>FanduelExcel!B83</f>
        <v>PG</v>
      </c>
      <c r="B41" s="40" t="str">
        <f>FanduelExcel!C83&amp;" "&amp;FanduelExcel!E83</f>
        <v>Jordan Clarkson</v>
      </c>
      <c r="C41">
        <v>23.9</v>
      </c>
      <c r="D41" s="40">
        <f>VLOOKUP(B41,FanduelExcelSub!$B$1:$C$434,2, FALSE)</f>
        <v>4600</v>
      </c>
      <c r="E41" s="40">
        <f>VLOOKUP(B41,MaxData!$A$1:$B$373, 2,FALSE)</f>
        <v>23.9</v>
      </c>
      <c r="F41" s="40">
        <f>VLOOKUP(B41,FanduelExcelSub!$B$1:$D$434,3, FALSE)</f>
        <v>0</v>
      </c>
    </row>
    <row r="42" spans="1:6" x14ac:dyDescent="0.25">
      <c r="A42" s="40" t="str">
        <f>FanduelExcel!B49</f>
        <v>SG</v>
      </c>
      <c r="B42" s="40" t="str">
        <f>FanduelExcel!C49&amp;" "&amp;FanduelExcel!E49</f>
        <v>Zach LaVine</v>
      </c>
      <c r="C42">
        <v>0</v>
      </c>
      <c r="D42" s="40">
        <f>VLOOKUP(B42,FanduelExcelSub!$B$1:$C$434,2, FALSE)</f>
        <v>6000</v>
      </c>
      <c r="E42" s="40" t="e">
        <f>VLOOKUP(B42,MaxData!$A$1:$B$373, 2,FALSE)</f>
        <v>#N/A</v>
      </c>
      <c r="F42" s="40" t="str">
        <f>VLOOKUP(B42,FanduelExcelSub!$B$1:$D$434,3, FALSE)</f>
        <v>O</v>
      </c>
    </row>
    <row r="43" spans="1:6" x14ac:dyDescent="0.25">
      <c r="A43" s="40" t="str">
        <f>FanduelExcel!B104</f>
        <v>SF</v>
      </c>
      <c r="B43" s="40" t="str">
        <f>FanduelExcel!C104&amp;" "&amp;FanduelExcel!E104</f>
        <v>Andre Iguodala</v>
      </c>
      <c r="C43">
        <v>36.4</v>
      </c>
      <c r="D43" s="40">
        <f>VLOOKUP(B43,FanduelExcelSub!$B$1:$C$434,2, FALSE)</f>
        <v>4200</v>
      </c>
      <c r="E43" s="40">
        <f>VLOOKUP(B43,MaxData!$A$1:$B$373, 2,FALSE)</f>
        <v>36.4</v>
      </c>
      <c r="F43" s="40">
        <f>VLOOKUP(B43,FanduelExcelSub!$B$1:$D$434,3, FALSE)</f>
        <v>0</v>
      </c>
    </row>
    <row r="44" spans="1:6" x14ac:dyDescent="0.25">
      <c r="A44" s="40" t="str">
        <f>FanduelExcel!B61</f>
        <v>C</v>
      </c>
      <c r="B44" s="40" t="str">
        <f>FanduelExcel!C61&amp;" "&amp;FanduelExcel!E61</f>
        <v>Tyson Chandler</v>
      </c>
      <c r="C44">
        <v>29.4</v>
      </c>
      <c r="D44" s="40">
        <f>VLOOKUP(B44,FanduelExcelSub!$B$1:$C$434,2, FALSE)</f>
        <v>5500</v>
      </c>
      <c r="E44" s="40">
        <f>VLOOKUP(B44,MaxData!$A$1:$B$373, 2,FALSE)</f>
        <v>29.4</v>
      </c>
      <c r="F44" s="40">
        <f>VLOOKUP(B44,FanduelExcelSub!$B$1:$D$434,3, FALSE)</f>
        <v>0</v>
      </c>
    </row>
    <row r="45" spans="1:6" x14ac:dyDescent="0.25">
      <c r="A45" s="40" t="str">
        <f>FanduelExcel!B32</f>
        <v>PF</v>
      </c>
      <c r="B45" s="40" t="str">
        <f>FanduelExcel!C32&amp;" "&amp;FanduelExcel!E32</f>
        <v>Markieff Morris</v>
      </c>
      <c r="C45">
        <v>44.5</v>
      </c>
      <c r="D45" s="40">
        <f>VLOOKUP(B45,FanduelExcelSub!$B$1:$C$434,2, FALSE)</f>
        <v>6900</v>
      </c>
      <c r="E45" s="40">
        <f>VLOOKUP(B45,MaxData!$A$1:$B$373, 2,FALSE)</f>
        <v>44.5</v>
      </c>
      <c r="F45" s="40" t="str">
        <f>VLOOKUP(B45,FanduelExcelSub!$B$1:$D$434,3, FALSE)</f>
        <v>GTD</v>
      </c>
    </row>
    <row r="46" spans="1:6" x14ac:dyDescent="0.25">
      <c r="A46" s="40" t="str">
        <f>FanduelExcel!B20</f>
        <v>PF</v>
      </c>
      <c r="B46" s="40" t="str">
        <f>FanduelExcel!C20&amp;" "&amp;FanduelExcel!E20</f>
        <v>Draymond Green</v>
      </c>
      <c r="C46">
        <v>61.4</v>
      </c>
      <c r="D46" s="40">
        <f>VLOOKUP(B46,FanduelExcelSub!$B$1:$C$434,2, FALSE)</f>
        <v>8000</v>
      </c>
      <c r="E46" s="40">
        <f>VLOOKUP(B46,MaxData!$A$1:$B$373, 2,FALSE)</f>
        <v>61.4</v>
      </c>
      <c r="F46" s="40">
        <f>VLOOKUP(B46,FanduelExcelSub!$B$1:$D$434,3, FALSE)</f>
        <v>0</v>
      </c>
    </row>
    <row r="47" spans="1:6" x14ac:dyDescent="0.25">
      <c r="A47" s="40" t="str">
        <f>FanduelExcel!B39</f>
        <v>PG</v>
      </c>
      <c r="B47" s="40" t="str">
        <f>FanduelExcel!C39&amp;" "&amp;FanduelExcel!E39</f>
        <v>Ricky Rubio</v>
      </c>
      <c r="C47">
        <v>40.700000000000003</v>
      </c>
      <c r="D47" s="40">
        <f>VLOOKUP(B47,FanduelExcelSub!$B$1:$C$434,2, FALSE)</f>
        <v>6500</v>
      </c>
      <c r="E47" s="40">
        <f>VLOOKUP(B47,MaxData!$A$1:$B$373, 2,FALSE)</f>
        <v>40.700000000000003</v>
      </c>
      <c r="F47" s="40">
        <f>VLOOKUP(B47,FanduelExcelSub!$B$1:$D$434,3, FALSE)</f>
        <v>0</v>
      </c>
    </row>
    <row r="48" spans="1:6" x14ac:dyDescent="0.25">
      <c r="A48" s="40" t="str">
        <f>FanduelExcel!B38</f>
        <v>SF</v>
      </c>
      <c r="B48" s="40" t="str">
        <f>FanduelExcel!C38&amp;" "&amp;FanduelExcel!E38</f>
        <v>Wilson Chandler</v>
      </c>
      <c r="C48">
        <v>47.1</v>
      </c>
      <c r="D48" s="40">
        <f>VLOOKUP(B48,FanduelExcelSub!$B$1:$C$434,2, FALSE)</f>
        <v>6700</v>
      </c>
      <c r="E48" s="40">
        <f>VLOOKUP(B48,MaxData!$A$1:$B$373, 2,FALSE)</f>
        <v>47.1</v>
      </c>
      <c r="F48" s="40">
        <f>VLOOKUP(B48,FanduelExcelSub!$B$1:$D$434,3, FALSE)</f>
        <v>0</v>
      </c>
    </row>
    <row r="49" spans="1:6" x14ac:dyDescent="0.25">
      <c r="A49" s="40" t="str">
        <f>FanduelExcel!B59</f>
        <v>SG</v>
      </c>
      <c r="B49" s="40" t="str">
        <f>FanduelExcel!C59&amp;" "&amp;FanduelExcel!E59</f>
        <v>Tim Hardaway Jr.</v>
      </c>
      <c r="C49">
        <v>40.4</v>
      </c>
      <c r="D49" s="40">
        <f>VLOOKUP(B49,FanduelExcelSub!$B$1:$C$434,2, FALSE)</f>
        <v>5600</v>
      </c>
      <c r="E49" s="40">
        <f>VLOOKUP(B49,MaxData!$A$1:$B$373, 2,FALSE)</f>
        <v>40.4</v>
      </c>
      <c r="F49" s="40">
        <f>VLOOKUP(B49,FanduelExcelSub!$B$1:$D$434,3, FALSE)</f>
        <v>0</v>
      </c>
    </row>
    <row r="50" spans="1:6" x14ac:dyDescent="0.25">
      <c r="A50" s="40" t="str">
        <f>FanduelExcel!B37</f>
        <v>SF</v>
      </c>
      <c r="B50" s="40" t="str">
        <f>FanduelExcel!C37&amp;" "&amp;FanduelExcel!E37</f>
        <v>Otto Porter</v>
      </c>
      <c r="C50">
        <v>39.200000000000003</v>
      </c>
      <c r="D50" s="40">
        <f>VLOOKUP(B50,FanduelExcelSub!$B$1:$C$434,2, FALSE)</f>
        <v>6700</v>
      </c>
      <c r="E50" s="40">
        <f>VLOOKUP(B50,MaxData!$A$1:$B$373, 2,FALSE)</f>
        <v>39.200000000000003</v>
      </c>
      <c r="F50" s="40">
        <f>VLOOKUP(B50,FanduelExcelSub!$B$1:$D$434,3, FALSE)</f>
        <v>0</v>
      </c>
    </row>
    <row r="51" spans="1:6" x14ac:dyDescent="0.25">
      <c r="A51" s="40" t="str">
        <f>FanduelExcel!B84</f>
        <v>SF</v>
      </c>
      <c r="B51" s="40" t="str">
        <f>FanduelExcel!C84&amp;" "&amp;FanduelExcel!E84</f>
        <v>Bojan Bogdanovic</v>
      </c>
      <c r="C51">
        <v>36</v>
      </c>
      <c r="D51" s="40">
        <f>VLOOKUP(B51,FanduelExcelSub!$B$1:$C$434,2, FALSE)</f>
        <v>4600</v>
      </c>
      <c r="E51" s="40">
        <f>VLOOKUP(B51,MaxData!$A$1:$B$373, 2,FALSE)</f>
        <v>36</v>
      </c>
      <c r="F51" s="40">
        <f>VLOOKUP(B51,FanduelExcelSub!$B$1:$D$434,3, FALSE)</f>
        <v>0</v>
      </c>
    </row>
    <row r="52" spans="1:6" x14ac:dyDescent="0.25">
      <c r="A52" s="40" t="str">
        <f>FanduelExcel!B51</f>
        <v>PG</v>
      </c>
      <c r="B52" s="40" t="str">
        <f>FanduelExcel!C51&amp;" "&amp;FanduelExcel!E51</f>
        <v>D'Angelo Russell</v>
      </c>
      <c r="C52">
        <v>40.9</v>
      </c>
      <c r="D52" s="40">
        <f>VLOOKUP(B52,FanduelExcelSub!$B$1:$C$434,2, FALSE)</f>
        <v>5900</v>
      </c>
      <c r="E52" s="40">
        <f>VLOOKUP(B52,MaxData!$A$1:$B$373, 2,FALSE)</f>
        <v>40.9</v>
      </c>
      <c r="F52" s="40">
        <f>VLOOKUP(B52,FanduelExcelSub!$B$1:$D$434,3, FALSE)</f>
        <v>0</v>
      </c>
    </row>
    <row r="53" spans="1:6" x14ac:dyDescent="0.25">
      <c r="A53" s="40" t="str">
        <f>FanduelExcel!B45</f>
        <v>C</v>
      </c>
      <c r="B53" s="40" t="str">
        <f>FanduelExcel!C45&amp;" "&amp;FanduelExcel!E45</f>
        <v>Pau Gasol</v>
      </c>
      <c r="C53">
        <v>0</v>
      </c>
      <c r="D53" s="40">
        <f>VLOOKUP(B53,FanduelExcelSub!$B$1:$C$434,2, FALSE)</f>
        <v>6200</v>
      </c>
      <c r="E53" s="40" t="e">
        <f>VLOOKUP(B53,MaxData!$A$1:$B$373, 2,FALSE)</f>
        <v>#N/A</v>
      </c>
      <c r="F53" s="40" t="str">
        <f>VLOOKUP(B53,FanduelExcelSub!$B$1:$D$434,3, FALSE)</f>
        <v>O</v>
      </c>
    </row>
    <row r="54" spans="1:6" x14ac:dyDescent="0.25">
      <c r="A54" s="40" t="str">
        <f>FanduelExcel!B88</f>
        <v>SG</v>
      </c>
      <c r="B54" s="40" t="str">
        <f>FanduelExcel!C88&amp;" "&amp;FanduelExcel!E88</f>
        <v>Tony Allen</v>
      </c>
      <c r="C54">
        <v>30.3</v>
      </c>
      <c r="D54" s="40">
        <f>VLOOKUP(B54,FanduelExcelSub!$B$1:$C$434,2, FALSE)</f>
        <v>4500</v>
      </c>
      <c r="E54" s="40">
        <f>VLOOKUP(B54,MaxData!$A$1:$B$373, 2,FALSE)</f>
        <v>30.3</v>
      </c>
      <c r="F54" s="40">
        <f>VLOOKUP(B54,FanduelExcelSub!$B$1:$D$434,3, FALSE)</f>
        <v>0</v>
      </c>
    </row>
    <row r="55" spans="1:6" x14ac:dyDescent="0.25">
      <c r="A55" s="40" t="str">
        <f>FanduelExcel!B81</f>
        <v>C</v>
      </c>
      <c r="B55" s="40" t="str">
        <f>FanduelExcel!C81&amp;" "&amp;FanduelExcel!E81</f>
        <v>Spencer Hawes</v>
      </c>
      <c r="C55">
        <v>0</v>
      </c>
      <c r="D55" s="40">
        <f>VLOOKUP(B55,FanduelExcelSub!$B$1:$C$434,2, FALSE)</f>
        <v>4700</v>
      </c>
      <c r="E55" s="40" t="e">
        <f>VLOOKUP(B55,MaxData!$A$1:$B$373, 2,FALSE)</f>
        <v>#N/A</v>
      </c>
      <c r="F55" s="40">
        <f>VLOOKUP(B55,FanduelExcelSub!$B$1:$D$434,3, FALSE)</f>
        <v>0</v>
      </c>
    </row>
    <row r="56" spans="1:6" x14ac:dyDescent="0.25">
      <c r="A56" s="40" t="str">
        <f>FanduelExcel!B101</f>
        <v>SF</v>
      </c>
      <c r="B56" s="40" t="str">
        <f>FanduelExcel!C101&amp;" "&amp;FanduelExcel!E101</f>
        <v>Shabazz Muhammad</v>
      </c>
      <c r="C56">
        <v>28.2</v>
      </c>
      <c r="D56" s="40">
        <f>VLOOKUP(B56,FanduelExcelSub!$B$1:$C$434,2, FALSE)</f>
        <v>4200</v>
      </c>
      <c r="E56" s="40">
        <f>VLOOKUP(B56,MaxData!$A$1:$B$373, 2,FALSE)</f>
        <v>28.2</v>
      </c>
      <c r="F56" s="40">
        <f>VLOOKUP(B56,FanduelExcelSub!$B$1:$D$434,3, FALSE)</f>
        <v>0</v>
      </c>
    </row>
    <row r="57" spans="1:6" x14ac:dyDescent="0.25">
      <c r="A57" s="40" t="str">
        <f>FanduelExcel!B67</f>
        <v>PG</v>
      </c>
      <c r="B57" s="40" t="str">
        <f>FanduelExcel!C67&amp;" "&amp;FanduelExcel!E67</f>
        <v>Brandon Jennings</v>
      </c>
      <c r="C57">
        <v>47</v>
      </c>
      <c r="D57" s="40">
        <f>VLOOKUP(B57,FanduelExcelSub!$B$1:$C$434,2, FALSE)</f>
        <v>5200</v>
      </c>
      <c r="E57" s="40">
        <f>VLOOKUP(B57,MaxData!$A$1:$B$373, 2,FALSE)</f>
        <v>47</v>
      </c>
      <c r="F57" s="40">
        <f>VLOOKUP(B57,FanduelExcelSub!$B$1:$D$434,3, FALSE)</f>
        <v>0</v>
      </c>
    </row>
    <row r="58" spans="1:6" x14ac:dyDescent="0.25">
      <c r="A58" s="40" t="str">
        <f>FanduelExcel!B118</f>
        <v>SG</v>
      </c>
      <c r="B58" s="40" t="str">
        <f>FanduelExcel!C118&amp;" "&amp;FanduelExcel!E118</f>
        <v>Lance Stephenson</v>
      </c>
      <c r="C58">
        <v>6.5</v>
      </c>
      <c r="D58" s="40">
        <f>VLOOKUP(B58,FanduelExcelSub!$B$1:$C$434,2, FALSE)</f>
        <v>3900</v>
      </c>
      <c r="E58" s="40">
        <f>VLOOKUP(B58,MaxData!$A$1:$B$373, 2,FALSE)</f>
        <v>6.5</v>
      </c>
      <c r="F58" s="40">
        <f>VLOOKUP(B58,FanduelExcelSub!$B$1:$D$434,3, FALSE)</f>
        <v>0</v>
      </c>
    </row>
    <row r="59" spans="1:6" x14ac:dyDescent="0.25">
      <c r="A59" s="40" t="str">
        <f>FanduelExcel!B17</f>
        <v>SF</v>
      </c>
      <c r="B59" s="40" t="str">
        <f>FanduelExcel!C17&amp;" "&amp;FanduelExcel!E17</f>
        <v>Carmelo Anthony</v>
      </c>
      <c r="C59">
        <v>48.2</v>
      </c>
      <c r="D59" s="40">
        <f>VLOOKUP(B59,FanduelExcelSub!$B$1:$C$434,2, FALSE)</f>
        <v>8100</v>
      </c>
      <c r="E59" s="40">
        <f>VLOOKUP(B59,MaxData!$A$1:$B$373, 2,FALSE)</f>
        <v>48.2</v>
      </c>
      <c r="F59" s="40">
        <f>VLOOKUP(B59,FanduelExcelSub!$B$1:$D$434,3, FALSE)</f>
        <v>0</v>
      </c>
    </row>
    <row r="60" spans="1:6" x14ac:dyDescent="0.25">
      <c r="A60" s="40" t="str">
        <f>FanduelExcel!B77</f>
        <v>PF</v>
      </c>
      <c r="B60" s="40" t="str">
        <f>FanduelExcel!C77&amp;" "&amp;FanduelExcel!E77</f>
        <v>Jon Leuer</v>
      </c>
      <c r="C60">
        <v>30.6</v>
      </c>
      <c r="D60" s="40">
        <f>VLOOKUP(B60,FanduelExcelSub!$B$1:$C$434,2, FALSE)</f>
        <v>4900</v>
      </c>
      <c r="E60" s="40">
        <f>VLOOKUP(B60,MaxData!$A$1:$B$373, 2,FALSE)</f>
        <v>30.6</v>
      </c>
      <c r="F60" s="40">
        <f>VLOOKUP(B60,FanduelExcelSub!$B$1:$D$434,3, FALSE)</f>
        <v>0</v>
      </c>
    </row>
    <row r="61" spans="1:6" x14ac:dyDescent="0.25">
      <c r="A61" s="40" t="str">
        <f>FanduelExcel!B58</f>
        <v>PG</v>
      </c>
      <c r="B61" s="40" t="str">
        <f>FanduelExcel!C58&amp;" "&amp;FanduelExcel!E58</f>
        <v>Tyler Johnson</v>
      </c>
      <c r="C61">
        <v>34.200000000000003</v>
      </c>
      <c r="D61" s="40">
        <f>VLOOKUP(B61,FanduelExcelSub!$B$1:$C$434,2, FALSE)</f>
        <v>5600</v>
      </c>
      <c r="E61" s="40">
        <f>VLOOKUP(B61,MaxData!$A$1:$B$373, 2,FALSE)</f>
        <v>34.200000000000003</v>
      </c>
      <c r="F61" s="40">
        <f>VLOOKUP(B61,FanduelExcelSub!$B$1:$D$434,3, FALSE)</f>
        <v>0</v>
      </c>
    </row>
    <row r="62" spans="1:6" x14ac:dyDescent="0.25">
      <c r="A62" s="40" t="str">
        <f>FanduelExcel!B70</f>
        <v>SF</v>
      </c>
      <c r="B62" s="40" t="str">
        <f>FanduelExcel!C70&amp;" "&amp;FanduelExcel!E70</f>
        <v>Matt Barnes</v>
      </c>
      <c r="C62">
        <v>37.299999999999997</v>
      </c>
      <c r="D62" s="40">
        <f>VLOOKUP(B62,FanduelExcelSub!$B$1:$C$434,2, FALSE)</f>
        <v>5100</v>
      </c>
      <c r="E62" s="40">
        <f>VLOOKUP(B62,MaxData!$A$1:$B$373, 2,FALSE)</f>
        <v>37.299999999999997</v>
      </c>
      <c r="F62" s="40">
        <f>VLOOKUP(B62,FanduelExcelSub!$B$1:$D$434,3, FALSE)</f>
        <v>0</v>
      </c>
    </row>
    <row r="63" spans="1:6" x14ac:dyDescent="0.25">
      <c r="A63" s="40" t="str">
        <f>FanduelExcel!B76</f>
        <v>PG</v>
      </c>
      <c r="B63" s="40" t="str">
        <f>FanduelExcel!C76&amp;" "&amp;FanduelExcel!E76</f>
        <v>Emmanuel Mudiay</v>
      </c>
      <c r="C63">
        <v>0</v>
      </c>
      <c r="D63" s="40">
        <f>VLOOKUP(B63,FanduelExcelSub!$B$1:$C$434,2, FALSE)</f>
        <v>4900</v>
      </c>
      <c r="E63" s="40" t="e">
        <f>VLOOKUP(B63,MaxData!$A$1:$B$373, 2,FALSE)</f>
        <v>#N/A</v>
      </c>
      <c r="F63" s="40" t="str">
        <f>VLOOKUP(B63,FanduelExcelSub!$B$1:$D$434,3, FALSE)</f>
        <v>O</v>
      </c>
    </row>
    <row r="64" spans="1:6" x14ac:dyDescent="0.25">
      <c r="A64" s="40" t="str">
        <f>FanduelExcel!B22</f>
        <v>PF</v>
      </c>
      <c r="B64" s="40" t="str">
        <f>FanduelExcel!C22&amp;" "&amp;FanduelExcel!E22</f>
        <v>Paul Millsap</v>
      </c>
      <c r="C64">
        <v>50.3</v>
      </c>
      <c r="D64" s="40">
        <f>VLOOKUP(B64,FanduelExcelSub!$B$1:$C$434,2, FALSE)</f>
        <v>7800</v>
      </c>
      <c r="E64" s="40">
        <f>VLOOKUP(B64,MaxData!$A$1:$B$373, 2,FALSE)</f>
        <v>50.3</v>
      </c>
      <c r="F64" s="40">
        <f>VLOOKUP(B64,FanduelExcelSub!$B$1:$D$434,3, FALSE)</f>
        <v>0</v>
      </c>
    </row>
    <row r="65" spans="1:6" x14ac:dyDescent="0.25">
      <c r="A65" s="40" t="str">
        <f>FanduelExcel!B79</f>
        <v>PG</v>
      </c>
      <c r="B65" s="40" t="str">
        <f>FanduelExcel!C79&amp;" "&amp;FanduelExcel!E79</f>
        <v>Michael Carter-Williams</v>
      </c>
      <c r="C65">
        <v>43.8</v>
      </c>
      <c r="D65" s="40">
        <f>VLOOKUP(B65,FanduelExcelSub!$B$1:$C$434,2, FALSE)</f>
        <v>4700</v>
      </c>
      <c r="E65" s="40">
        <f>VLOOKUP(B65,MaxData!$A$1:$B$373, 2,FALSE)</f>
        <v>43.8</v>
      </c>
      <c r="F65" s="40">
        <f>VLOOKUP(B65,FanduelExcelSub!$B$1:$D$434,3, FALSE)</f>
        <v>0</v>
      </c>
    </row>
    <row r="66" spans="1:6" x14ac:dyDescent="0.25">
      <c r="A66" s="40" t="str">
        <f>FanduelExcel!B80</f>
        <v>SF</v>
      </c>
      <c r="B66" s="40" t="str">
        <f>FanduelExcel!C80&amp;" "&amp;FanduelExcel!E80</f>
        <v>P.J. Tucker</v>
      </c>
      <c r="C66">
        <v>33.799999999999997</v>
      </c>
      <c r="D66" s="40">
        <f>VLOOKUP(B66,FanduelExcelSub!$B$1:$C$434,2, FALSE)</f>
        <v>4700</v>
      </c>
      <c r="E66" s="40">
        <f>VLOOKUP(B66,MaxData!$A$1:$B$373, 2,FALSE)</f>
        <v>33.799999999999997</v>
      </c>
      <c r="F66" s="40">
        <f>VLOOKUP(B66,FanduelExcelSub!$B$1:$D$434,3, FALSE)</f>
        <v>0</v>
      </c>
    </row>
    <row r="67" spans="1:6" x14ac:dyDescent="0.25">
      <c r="A67" s="40" t="str">
        <f>FanduelExcel!B48</f>
        <v>PF</v>
      </c>
      <c r="B67" s="40" t="str">
        <f>FanduelExcel!C48&amp;" "&amp;FanduelExcel!E48</f>
        <v>James Johnson</v>
      </c>
      <c r="C67">
        <v>43.6</v>
      </c>
      <c r="D67" s="40">
        <f>VLOOKUP(B67,FanduelExcelSub!$B$1:$C$434,2, FALSE)</f>
        <v>6000</v>
      </c>
      <c r="E67" s="40">
        <f>VLOOKUP(B67,MaxData!$A$1:$B$373, 2,FALSE)</f>
        <v>43.6</v>
      </c>
      <c r="F67" s="40">
        <f>VLOOKUP(B67,FanduelExcelSub!$B$1:$D$434,3, FALSE)</f>
        <v>0</v>
      </c>
    </row>
    <row r="68" spans="1:6" x14ac:dyDescent="0.25">
      <c r="A68" s="40" t="str">
        <f>FanduelExcel!B151</f>
        <v>PF</v>
      </c>
      <c r="B68" s="40" t="str">
        <f>FanduelExcel!C151&amp;" "&amp;FanduelExcel!E151</f>
        <v>Omri Casspi</v>
      </c>
      <c r="C68">
        <v>0</v>
      </c>
      <c r="D68" s="40">
        <f>VLOOKUP(B68,FanduelExcelSub!$B$1:$C$434,2, FALSE)</f>
        <v>3600</v>
      </c>
      <c r="E68" s="40" t="e">
        <f>VLOOKUP(B68,MaxData!$A$1:$B$373, 2,FALSE)</f>
        <v>#N/A</v>
      </c>
      <c r="F68" s="40" t="str">
        <f>VLOOKUP(B68,FanduelExcelSub!$B$1:$D$434,3, FALSE)</f>
        <v>O</v>
      </c>
    </row>
    <row r="69" spans="1:6" x14ac:dyDescent="0.25">
      <c r="A69" s="40" t="str">
        <f>FanduelExcel!B73</f>
        <v>C</v>
      </c>
      <c r="B69" s="40" t="str">
        <f>FanduelExcel!C73&amp;" "&amp;FanduelExcel!E73</f>
        <v>Robin Lopez</v>
      </c>
      <c r="C69">
        <v>36</v>
      </c>
      <c r="D69" s="40">
        <f>VLOOKUP(B69,FanduelExcelSub!$B$1:$C$434,2, FALSE)</f>
        <v>5000</v>
      </c>
      <c r="E69" s="40">
        <f>VLOOKUP(B69,MaxData!$A$1:$B$373, 2,FALSE)</f>
        <v>36</v>
      </c>
      <c r="F69" s="40">
        <f>VLOOKUP(B69,FanduelExcelSub!$B$1:$D$434,3, FALSE)</f>
        <v>0</v>
      </c>
    </row>
    <row r="70" spans="1:6" x14ac:dyDescent="0.25">
      <c r="A70" s="40" t="str">
        <f>FanduelExcel!B159</f>
        <v>PF</v>
      </c>
      <c r="B70" s="40" t="str">
        <f>FanduelExcel!C159&amp;" "&amp;FanduelExcel!E159</f>
        <v>Jared Dudley</v>
      </c>
      <c r="C70">
        <v>24.2</v>
      </c>
      <c r="D70" s="40">
        <f>VLOOKUP(B70,FanduelExcelSub!$B$1:$C$434,2, FALSE)</f>
        <v>3600</v>
      </c>
      <c r="E70" s="40">
        <f>VLOOKUP(B70,MaxData!$A$1:$B$373, 2,FALSE)</f>
        <v>24.2</v>
      </c>
      <c r="F70" s="40">
        <f>VLOOKUP(B70,FanduelExcelSub!$B$1:$D$434,3, FALSE)</f>
        <v>0</v>
      </c>
    </row>
    <row r="71" spans="1:6" x14ac:dyDescent="0.25">
      <c r="A71" s="40" t="str">
        <f>FanduelExcel!B50</f>
        <v>C</v>
      </c>
      <c r="B71" s="40" t="str">
        <f>FanduelExcel!C50&amp;" "&amp;FanduelExcel!E50</f>
        <v>Guillermo Hernangomez</v>
      </c>
      <c r="C71">
        <v>43.2</v>
      </c>
      <c r="D71" s="40">
        <f>VLOOKUP(B71,FanduelExcelSub!$B$1:$C$434,2, FALSE)</f>
        <v>5900</v>
      </c>
      <c r="E71" s="40">
        <f>VLOOKUP(B71,MaxData!$A$1:$B$373, 2,FALSE)</f>
        <v>43.2</v>
      </c>
      <c r="F71" s="40">
        <f>VLOOKUP(B71,FanduelExcelSub!$B$1:$D$434,3, FALSE)</f>
        <v>0</v>
      </c>
    </row>
    <row r="72" spans="1:6" x14ac:dyDescent="0.25">
      <c r="A72" s="40" t="str">
        <f>FanduelExcel!B96</f>
        <v>PG</v>
      </c>
      <c r="B72" s="40" t="str">
        <f>FanduelExcel!C96&amp;" "&amp;FanduelExcel!E96</f>
        <v>Jameer Nelson</v>
      </c>
      <c r="C72">
        <v>37.6</v>
      </c>
      <c r="D72" s="40">
        <f>VLOOKUP(B72,FanduelExcelSub!$B$1:$C$434,2, FALSE)</f>
        <v>4400</v>
      </c>
      <c r="E72" s="40">
        <f>VLOOKUP(B72,MaxData!$A$1:$B$373, 2,FALSE)</f>
        <v>37.6</v>
      </c>
      <c r="F72" s="40">
        <f>VLOOKUP(B72,FanduelExcelSub!$B$1:$D$434,3, FALSE)</f>
        <v>0</v>
      </c>
    </row>
    <row r="73" spans="1:6" x14ac:dyDescent="0.25">
      <c r="A73" s="40" t="str">
        <f>FanduelExcel!B91</f>
        <v>C</v>
      </c>
      <c r="B73" s="40" t="str">
        <f>FanduelExcel!C91&amp;" "&amp;FanduelExcel!E91</f>
        <v>Zaza Pachulia</v>
      </c>
      <c r="C73">
        <v>0</v>
      </c>
      <c r="D73" s="40">
        <f>VLOOKUP(B73,FanduelExcelSub!$B$1:$C$434,2, FALSE)</f>
        <v>4400</v>
      </c>
      <c r="E73" s="40" t="e">
        <f>VLOOKUP(B73,MaxData!$A$1:$B$373, 2,FALSE)</f>
        <v>#N/A</v>
      </c>
      <c r="F73" s="40" t="str">
        <f>VLOOKUP(B73,FanduelExcelSub!$B$1:$D$434,3, FALSE)</f>
        <v>O</v>
      </c>
    </row>
    <row r="74" spans="1:6" x14ac:dyDescent="0.25">
      <c r="A74" s="40" t="str">
        <f>FanduelExcel!B56</f>
        <v>PG</v>
      </c>
      <c r="B74" s="40" t="str">
        <f>FanduelExcel!C56&amp;" "&amp;FanduelExcel!E56</f>
        <v>Reggie Jackson</v>
      </c>
      <c r="C74">
        <v>29</v>
      </c>
      <c r="D74" s="40">
        <f>VLOOKUP(B74,FanduelExcelSub!$B$1:$C$434,2, FALSE)</f>
        <v>5700</v>
      </c>
      <c r="E74" s="40">
        <f>VLOOKUP(B74,MaxData!$A$1:$B$373, 2,FALSE)</f>
        <v>29</v>
      </c>
      <c r="F74" s="40">
        <f>VLOOKUP(B74,FanduelExcelSub!$B$1:$D$434,3, FALSE)</f>
        <v>0</v>
      </c>
    </row>
    <row r="75" spans="1:6" x14ac:dyDescent="0.25">
      <c r="A75" s="40" t="str">
        <f>FanduelExcel!B103</f>
        <v>C</v>
      </c>
      <c r="B75" s="40" t="str">
        <f>FanduelExcel!C103&amp;" "&amp;FanduelExcel!E103</f>
        <v>Tarik Black</v>
      </c>
      <c r="C75">
        <v>24.7</v>
      </c>
      <c r="D75" s="40">
        <f>VLOOKUP(B75,FanduelExcelSub!$B$1:$C$434,2, FALSE)</f>
        <v>4200</v>
      </c>
      <c r="E75" s="40">
        <f>VLOOKUP(B75,MaxData!$A$1:$B$373, 2,FALSE)</f>
        <v>24.7</v>
      </c>
      <c r="F75" s="40">
        <f>VLOOKUP(B75,FanduelExcelSub!$B$1:$D$434,3, FALSE)</f>
        <v>0</v>
      </c>
    </row>
    <row r="76" spans="1:6" x14ac:dyDescent="0.25">
      <c r="A76" s="40" t="str">
        <f>FanduelExcel!B75</f>
        <v>PF</v>
      </c>
      <c r="B76" s="40" t="str">
        <f>FanduelExcel!C75&amp;" "&amp;FanduelExcel!E75</f>
        <v>Taj Gibson</v>
      </c>
      <c r="C76">
        <v>33.700000000000003</v>
      </c>
      <c r="D76" s="40">
        <f>VLOOKUP(B76,FanduelExcelSub!$B$1:$C$434,2, FALSE)</f>
        <v>5000</v>
      </c>
      <c r="E76" s="40">
        <f>VLOOKUP(B76,MaxData!$A$1:$B$373, 2,FALSE)</f>
        <v>33.700000000000003</v>
      </c>
      <c r="F76" s="40">
        <f>VLOOKUP(B76,FanduelExcelSub!$B$1:$D$434,3, FALSE)</f>
        <v>0</v>
      </c>
    </row>
    <row r="77" spans="1:6" x14ac:dyDescent="0.25">
      <c r="A77" s="40" t="str">
        <f>FanduelExcel!B184</f>
        <v>PG</v>
      </c>
      <c r="B77" s="40" t="str">
        <f>FanduelExcel!C184&amp;" "&amp;FanduelExcel!E184</f>
        <v>Wade Baldwin IV</v>
      </c>
      <c r="C77">
        <v>0</v>
      </c>
      <c r="D77" s="40">
        <f>VLOOKUP(B77,FanduelExcelSub!$B$1:$C$434,2, FALSE)</f>
        <v>3500</v>
      </c>
      <c r="E77" s="40" t="e">
        <f>VLOOKUP(B77,MaxData!$A$1:$B$373, 2,FALSE)</f>
        <v>#N/A</v>
      </c>
      <c r="F77" s="40">
        <f>VLOOKUP(B77,FanduelExcelSub!$B$1:$D$434,3, FALSE)</f>
        <v>0</v>
      </c>
    </row>
    <row r="78" spans="1:6" x14ac:dyDescent="0.25">
      <c r="A78" s="40" t="str">
        <f>FanduelExcel!B68</f>
        <v>PG</v>
      </c>
      <c r="B78" s="40" t="str">
        <f>FanduelExcel!C68&amp;" "&amp;FanduelExcel!E68</f>
        <v>Darren Collison</v>
      </c>
      <c r="C78">
        <v>41.2</v>
      </c>
      <c r="D78" s="40">
        <f>VLOOKUP(B78,FanduelExcelSub!$B$1:$C$434,2, FALSE)</f>
        <v>5200</v>
      </c>
      <c r="E78" s="40">
        <f>VLOOKUP(B78,MaxData!$A$1:$B$373, 2,FALSE)</f>
        <v>41.2</v>
      </c>
      <c r="F78" s="40">
        <f>VLOOKUP(B78,FanduelExcelSub!$B$1:$D$434,3, FALSE)</f>
        <v>0</v>
      </c>
    </row>
    <row r="79" spans="1:6" x14ac:dyDescent="0.25">
      <c r="A79" s="40" t="str">
        <f>FanduelExcel!B158</f>
        <v>PF</v>
      </c>
      <c r="B79" s="40" t="str">
        <f>FanduelExcel!C158&amp;" "&amp;FanduelExcel!E158</f>
        <v>Alex Len</v>
      </c>
      <c r="C79">
        <v>26.8</v>
      </c>
      <c r="D79" s="40">
        <f>VLOOKUP(B79,FanduelExcelSub!$B$1:$C$434,2, FALSE)</f>
        <v>3600</v>
      </c>
      <c r="E79" s="40">
        <f>VLOOKUP(B79,MaxData!$A$1:$B$373, 2,FALSE)</f>
        <v>26.8</v>
      </c>
      <c r="F79" s="40">
        <f>VLOOKUP(B79,FanduelExcelSub!$B$1:$D$434,3, FALSE)</f>
        <v>0</v>
      </c>
    </row>
    <row r="80" spans="1:6" x14ac:dyDescent="0.25">
      <c r="A80" s="40" t="str">
        <f>FanduelExcel!B113</f>
        <v>PG</v>
      </c>
      <c r="B80" s="40" t="str">
        <f>FanduelExcel!C113&amp;" "&amp;FanduelExcel!E113</f>
        <v>Jamal Murray</v>
      </c>
      <c r="C80">
        <v>23.8</v>
      </c>
      <c r="D80" s="40">
        <f>VLOOKUP(B80,FanduelExcelSub!$B$1:$C$434,2, FALSE)</f>
        <v>4000</v>
      </c>
      <c r="E80" s="40">
        <f>VLOOKUP(B80,MaxData!$A$1:$B$373, 2,FALSE)</f>
        <v>23.8</v>
      </c>
      <c r="F80" s="40">
        <f>VLOOKUP(B80,FanduelExcelSub!$B$1:$D$434,3, FALSE)</f>
        <v>0</v>
      </c>
    </row>
    <row r="81" spans="1:6" x14ac:dyDescent="0.25">
      <c r="A81" s="40" t="str">
        <f>FanduelExcel!B200</f>
        <v>PF</v>
      </c>
      <c r="B81" s="40" t="str">
        <f>FanduelExcel!C200&amp;" "&amp;FanduelExcel!E200</f>
        <v>Bobby Portis</v>
      </c>
      <c r="C81">
        <v>23.2</v>
      </c>
      <c r="D81" s="40">
        <f>VLOOKUP(B81,FanduelExcelSub!$B$1:$C$434,2, FALSE)</f>
        <v>3500</v>
      </c>
      <c r="E81" s="40">
        <f>VLOOKUP(B81,MaxData!$A$1:$B$373, 2,FALSE)</f>
        <v>23.2</v>
      </c>
      <c r="F81" s="40">
        <f>VLOOKUP(B81,FanduelExcelSub!$B$1:$D$434,3, FALSE)</f>
        <v>0</v>
      </c>
    </row>
    <row r="82" spans="1:6" x14ac:dyDescent="0.25">
      <c r="A82" s="40" t="str">
        <f>FanduelExcel!B117</f>
        <v>C</v>
      </c>
      <c r="B82" s="40" t="str">
        <f>FanduelExcel!C117&amp;" "&amp;FanduelExcel!E117</f>
        <v>John Henson</v>
      </c>
      <c r="C82">
        <v>32</v>
      </c>
      <c r="D82" s="40">
        <f>VLOOKUP(B82,FanduelExcelSub!$B$1:$C$434,2, FALSE)</f>
        <v>3900</v>
      </c>
      <c r="E82" s="40">
        <f>VLOOKUP(B82,MaxData!$A$1:$B$373, 2,FALSE)</f>
        <v>32</v>
      </c>
      <c r="F82" s="40">
        <f>VLOOKUP(B82,FanduelExcelSub!$B$1:$D$434,3, FALSE)</f>
        <v>0</v>
      </c>
    </row>
    <row r="83" spans="1:6" x14ac:dyDescent="0.25">
      <c r="A83" s="40" t="str">
        <f>FanduelExcel!B122</f>
        <v>SG</v>
      </c>
      <c r="B83" s="40" t="str">
        <f>FanduelExcel!C122&amp;" "&amp;FanduelExcel!E122</f>
        <v>Sean Kilpatrick</v>
      </c>
      <c r="C83">
        <v>28</v>
      </c>
      <c r="D83" s="40">
        <f>VLOOKUP(B83,FanduelExcelSub!$B$1:$C$434,2, FALSE)</f>
        <v>3800</v>
      </c>
      <c r="E83" s="40">
        <f>VLOOKUP(B83,MaxData!$A$1:$B$373, 2,FALSE)</f>
        <v>28</v>
      </c>
      <c r="F83" s="40">
        <f>VLOOKUP(B83,FanduelExcelSub!$B$1:$D$434,3, FALSE)</f>
        <v>0</v>
      </c>
    </row>
    <row r="84" spans="1:6" x14ac:dyDescent="0.25">
      <c r="A84" s="40" t="str">
        <f>FanduelExcel!B105</f>
        <v>C</v>
      </c>
      <c r="B84" s="40" t="str">
        <f>FanduelExcel!C105&amp;" "&amp;FanduelExcel!E105</f>
        <v>Kyle O'Quinn</v>
      </c>
      <c r="C84">
        <v>37.200000000000003</v>
      </c>
      <c r="D84" s="40">
        <f>VLOOKUP(B84,FanduelExcelSub!$B$1:$C$434,2, FALSE)</f>
        <v>4200</v>
      </c>
      <c r="E84" s="40">
        <f>VLOOKUP(B84,MaxData!$A$1:$B$373, 2,FALSE)</f>
        <v>37.200000000000003</v>
      </c>
      <c r="F84" s="40">
        <f>VLOOKUP(B84,FanduelExcelSub!$B$1:$D$434,3, FALSE)</f>
        <v>0</v>
      </c>
    </row>
    <row r="85" spans="1:6" x14ac:dyDescent="0.25">
      <c r="A85" s="40" t="str">
        <f>FanduelExcel!B97</f>
        <v>SG</v>
      </c>
      <c r="B85" s="40" t="str">
        <f>FanduelExcel!C97&amp;" "&amp;FanduelExcel!E97</f>
        <v>Nick Young</v>
      </c>
      <c r="C85">
        <v>37.4</v>
      </c>
      <c r="D85" s="40">
        <f>VLOOKUP(B85,FanduelExcelSub!$B$1:$C$434,2, FALSE)</f>
        <v>4300</v>
      </c>
      <c r="E85" s="40">
        <f>VLOOKUP(B85,MaxData!$A$1:$B$373, 2,FALSE)</f>
        <v>37.4</v>
      </c>
      <c r="F85" s="40">
        <f>VLOOKUP(B85,FanduelExcelSub!$B$1:$D$434,3, FALSE)</f>
        <v>0</v>
      </c>
    </row>
    <row r="86" spans="1:6" x14ac:dyDescent="0.25">
      <c r="A86" s="40" t="str">
        <f>FanduelExcel!B134</f>
        <v>SG</v>
      </c>
      <c r="B86" s="40" t="str">
        <f>FanduelExcel!C134&amp;" "&amp;FanduelExcel!E134</f>
        <v>Brandon Knight</v>
      </c>
      <c r="C86">
        <v>22.4</v>
      </c>
      <c r="D86" s="40">
        <f>VLOOKUP(B86,FanduelExcelSub!$B$1:$C$434,2, FALSE)</f>
        <v>3700</v>
      </c>
      <c r="E86" s="40">
        <f>VLOOKUP(B86,MaxData!$A$1:$B$373, 2,FALSE)</f>
        <v>22.4</v>
      </c>
      <c r="F86" s="40">
        <f>VLOOKUP(B86,FanduelExcelSub!$B$1:$D$434,3, FALSE)</f>
        <v>0</v>
      </c>
    </row>
    <row r="87" spans="1:6" x14ac:dyDescent="0.25">
      <c r="A87" s="40" t="str">
        <f>FanduelExcel!B115</f>
        <v>C</v>
      </c>
      <c r="B87" s="40" t="str">
        <f>FanduelExcel!C115&amp;" "&amp;FanduelExcel!E115</f>
        <v>Dewayne Dedmon</v>
      </c>
      <c r="C87">
        <v>40.4</v>
      </c>
      <c r="D87" s="40">
        <f>VLOOKUP(B87,FanduelExcelSub!$B$1:$C$434,2, FALSE)</f>
        <v>4000</v>
      </c>
      <c r="E87" s="40">
        <f>VLOOKUP(B87,MaxData!$A$1:$B$373, 2,FALSE)</f>
        <v>40.4</v>
      </c>
      <c r="F87" s="40">
        <f>VLOOKUP(B87,FanduelExcelSub!$B$1:$D$434,3, FALSE)</f>
        <v>0</v>
      </c>
    </row>
    <row r="88" spans="1:6" x14ac:dyDescent="0.25">
      <c r="A88" s="40" t="str">
        <f>FanduelExcel!B106</f>
        <v>SF</v>
      </c>
      <c r="B88" s="40" t="str">
        <f>FanduelExcel!C106&amp;" "&amp;FanduelExcel!E106</f>
        <v>C.J. Miles</v>
      </c>
      <c r="C88">
        <v>28.8</v>
      </c>
      <c r="D88" s="40">
        <f>VLOOKUP(B88,FanduelExcelSub!$B$1:$C$434,2, FALSE)</f>
        <v>4200</v>
      </c>
      <c r="E88" s="40">
        <f>VLOOKUP(B88,MaxData!$A$1:$B$373, 2,FALSE)</f>
        <v>28.8</v>
      </c>
      <c r="F88" s="40">
        <f>VLOOKUP(B88,FanduelExcelSub!$B$1:$D$434,3, FALSE)</f>
        <v>0</v>
      </c>
    </row>
    <row r="89" spans="1:6" x14ac:dyDescent="0.25">
      <c r="A89" s="40" t="str">
        <f>FanduelExcel!B150</f>
        <v>SG</v>
      </c>
      <c r="B89" s="40" t="str">
        <f>FanduelExcel!C150&amp;" "&amp;FanduelExcel!E150</f>
        <v>Justin Holiday</v>
      </c>
      <c r="C89">
        <v>25.8</v>
      </c>
      <c r="D89" s="40">
        <f>VLOOKUP(B89,FanduelExcelSub!$B$1:$C$434,2, FALSE)</f>
        <v>3600</v>
      </c>
      <c r="E89" s="40">
        <f>VLOOKUP(B89,MaxData!$A$1:$B$373, 2,FALSE)</f>
        <v>25.8</v>
      </c>
      <c r="F89" s="40">
        <f>VLOOKUP(B89,FanduelExcelSub!$B$1:$D$434,3, FALSE)</f>
        <v>0</v>
      </c>
    </row>
    <row r="90" spans="1:6" x14ac:dyDescent="0.25">
      <c r="A90" s="40" t="str">
        <f>FanduelExcel!B111</f>
        <v>PG</v>
      </c>
      <c r="B90" s="40" t="str">
        <f>FanduelExcel!C111&amp;" "&amp;FanduelExcel!E111</f>
        <v>Tyus Jones</v>
      </c>
      <c r="C90">
        <v>0</v>
      </c>
      <c r="D90" s="40">
        <f>VLOOKUP(B90,FanduelExcelSub!$B$1:$C$434,2, FALSE)</f>
        <v>4100</v>
      </c>
      <c r="E90" s="40" t="e">
        <f>VLOOKUP(B90,MaxData!$A$1:$B$373, 2,FALSE)</f>
        <v>#N/A</v>
      </c>
      <c r="F90" s="40">
        <f>VLOOKUP(B90,FanduelExcelSub!$B$1:$D$434,3, FALSE)</f>
        <v>0</v>
      </c>
    </row>
    <row r="91" spans="1:6" x14ac:dyDescent="0.25">
      <c r="A91" s="40" t="str">
        <f>FanduelExcel!B242</f>
        <v>C</v>
      </c>
      <c r="B91" s="40" t="str">
        <f>FanduelExcel!C242&amp;" "&amp;FanduelExcel!E242</f>
        <v>Boban Marjanovic</v>
      </c>
      <c r="C91">
        <v>0</v>
      </c>
      <c r="D91" s="40">
        <f>VLOOKUP(B91,FanduelExcelSub!$B$1:$C$434,2, FALSE)</f>
        <v>3500</v>
      </c>
      <c r="E91" s="40" t="e">
        <f>VLOOKUP(B91,MaxData!$A$1:$B$373, 2,FALSE)</f>
        <v>#N/A</v>
      </c>
      <c r="F91" s="40">
        <f>VLOOKUP(B91,FanduelExcelSub!$B$1:$D$434,3, FALSE)</f>
        <v>0</v>
      </c>
    </row>
    <row r="92" spans="1:6" x14ac:dyDescent="0.25">
      <c r="A92" s="40" t="str">
        <f>FanduelExcel!B149</f>
        <v>SF</v>
      </c>
      <c r="B92" s="40" t="str">
        <f>FanduelExcel!C149&amp;" "&amp;FanduelExcel!E149</f>
        <v>Chandler Parsons</v>
      </c>
      <c r="C92">
        <v>24.1</v>
      </c>
      <c r="D92" s="40">
        <f>VLOOKUP(B92,FanduelExcelSub!$B$1:$C$434,2, FALSE)</f>
        <v>3600</v>
      </c>
      <c r="E92" s="40">
        <f>VLOOKUP(B92,MaxData!$A$1:$B$373, 2,FALSE)</f>
        <v>24.1</v>
      </c>
      <c r="F92" s="40" t="str">
        <f>VLOOKUP(B92,FanduelExcelSub!$B$1:$D$434,3, FALSE)</f>
        <v>O</v>
      </c>
    </row>
    <row r="93" spans="1:6" x14ac:dyDescent="0.25">
      <c r="A93" s="40" t="str">
        <f>FanduelExcel!B63</f>
        <v>PF</v>
      </c>
      <c r="B93" s="40" t="str">
        <f>FanduelExcel!C63&amp;" "&amp;FanduelExcel!E63</f>
        <v>Gorgui Dieng</v>
      </c>
      <c r="C93">
        <v>30.6</v>
      </c>
      <c r="D93" s="40">
        <f>VLOOKUP(B93,FanduelExcelSub!$B$1:$C$434,2, FALSE)</f>
        <v>5500</v>
      </c>
      <c r="E93" s="40">
        <f>VLOOKUP(B93,MaxData!$A$1:$B$373, 2,FALSE)</f>
        <v>30.6</v>
      </c>
      <c r="F93" s="40">
        <f>VLOOKUP(B93,FanduelExcelSub!$B$1:$D$434,3, FALSE)</f>
        <v>0</v>
      </c>
    </row>
    <row r="94" spans="1:6" x14ac:dyDescent="0.25">
      <c r="A94" s="40" t="str">
        <f>FanduelExcel!B146</f>
        <v>C</v>
      </c>
      <c r="B94" s="40" t="str">
        <f>FanduelExcel!C146&amp;" "&amp;FanduelExcel!E146</f>
        <v>Aron Baynes</v>
      </c>
      <c r="C94">
        <v>23.9</v>
      </c>
      <c r="D94" s="40">
        <f>VLOOKUP(B94,FanduelExcelSub!$B$1:$C$434,2, FALSE)</f>
        <v>3600</v>
      </c>
      <c r="E94" s="40">
        <f>VLOOKUP(B94,MaxData!$A$1:$B$373, 2,FALSE)</f>
        <v>23.9</v>
      </c>
      <c r="F94" s="40">
        <f>VLOOKUP(B94,FanduelExcelSub!$B$1:$D$434,3, FALSE)</f>
        <v>0</v>
      </c>
    </row>
    <row r="95" spans="1:6" x14ac:dyDescent="0.25">
      <c r="A95" s="40" t="str">
        <f>FanduelExcel!B174</f>
        <v>C</v>
      </c>
      <c r="B95" s="40" t="str">
        <f>FanduelExcel!C174&amp;" "&amp;FanduelExcel!E174</f>
        <v>Alexis Ajinca</v>
      </c>
      <c r="C95">
        <v>31</v>
      </c>
      <c r="D95" s="40">
        <f>VLOOKUP(B95,FanduelExcelSub!$B$1:$C$434,2, FALSE)</f>
        <v>3500</v>
      </c>
      <c r="E95" s="40">
        <f>VLOOKUP(B95,MaxData!$A$1:$B$373, 2,FALSE)</f>
        <v>31</v>
      </c>
      <c r="F95" s="40">
        <f>VLOOKUP(B95,FanduelExcelSub!$B$1:$D$434,3, FALSE)</f>
        <v>0</v>
      </c>
    </row>
    <row r="96" spans="1:6" x14ac:dyDescent="0.25">
      <c r="A96" s="40" t="str">
        <f>FanduelExcel!B218</f>
        <v>SG</v>
      </c>
      <c r="B96" s="40" t="str">
        <f>FanduelExcel!C218&amp;" "&amp;FanduelExcel!E218</f>
        <v>Bryn Forbes</v>
      </c>
      <c r="C96">
        <v>0</v>
      </c>
      <c r="D96" s="40">
        <f>VLOOKUP(B96,FanduelExcelSub!$B$1:$C$434,2, FALSE)</f>
        <v>3500</v>
      </c>
      <c r="E96" s="40" t="e">
        <f>VLOOKUP(B96,MaxData!$A$1:$B$373, 2,FALSE)</f>
        <v>#N/A</v>
      </c>
      <c r="F96" s="40">
        <f>VLOOKUP(B96,FanduelExcelSub!$B$1:$D$434,3, FALSE)</f>
        <v>0</v>
      </c>
    </row>
    <row r="97" spans="1:6" x14ac:dyDescent="0.25">
      <c r="A97" s="40" t="str">
        <f>FanduelExcel!B42</f>
        <v>C</v>
      </c>
      <c r="B97" s="40" t="str">
        <f>FanduelExcel!C42&amp;" "&amp;FanduelExcel!E42</f>
        <v>Myles Turner</v>
      </c>
      <c r="C97">
        <v>32.700000000000003</v>
      </c>
      <c r="D97" s="40">
        <f>VLOOKUP(B97,FanduelExcelSub!$B$1:$C$434,2, FALSE)</f>
        <v>6400</v>
      </c>
      <c r="E97" s="40">
        <f>VLOOKUP(B97,MaxData!$A$1:$B$373, 2,FALSE)</f>
        <v>32.700000000000003</v>
      </c>
      <c r="F97" s="40">
        <f>VLOOKUP(B97,FanduelExcelSub!$B$1:$D$434,3, FALSE)</f>
        <v>0</v>
      </c>
    </row>
    <row r="98" spans="1:6" x14ac:dyDescent="0.25">
      <c r="A98" s="40" t="str">
        <f>FanduelExcel!B112</f>
        <v>SG</v>
      </c>
      <c r="B98" s="40" t="str">
        <f>FanduelExcel!C112&amp;" "&amp;FanduelExcel!E112</f>
        <v>Garrett Temple</v>
      </c>
      <c r="C98">
        <v>0</v>
      </c>
      <c r="D98" s="40">
        <f>VLOOKUP(B98,FanduelExcelSub!$B$1:$C$434,2, FALSE)</f>
        <v>4100</v>
      </c>
      <c r="E98" s="40" t="e">
        <f>VLOOKUP(B98,MaxData!$A$1:$B$373, 2,FALSE)</f>
        <v>#N/A</v>
      </c>
      <c r="F98" s="40" t="str">
        <f>VLOOKUP(B98,FanduelExcelSub!$B$1:$D$434,3, FALSE)</f>
        <v>O</v>
      </c>
    </row>
    <row r="99" spans="1:6" x14ac:dyDescent="0.25">
      <c r="A99" s="40" t="str">
        <f>FanduelExcel!B137</f>
        <v>SG</v>
      </c>
      <c r="B99" s="40" t="str">
        <f>FanduelExcel!C137&amp;" "&amp;FanduelExcel!E137</f>
        <v>Wayne Ellington</v>
      </c>
      <c r="C99">
        <v>23</v>
      </c>
      <c r="D99" s="40">
        <f>VLOOKUP(B99,FanduelExcelSub!$B$1:$C$434,2, FALSE)</f>
        <v>3700</v>
      </c>
      <c r="E99" s="40">
        <f>VLOOKUP(B99,MaxData!$A$1:$B$373, 2,FALSE)</f>
        <v>23</v>
      </c>
      <c r="F99" s="40">
        <f>VLOOKUP(B99,FanduelExcelSub!$B$1:$D$434,3, FALSE)</f>
        <v>0</v>
      </c>
    </row>
    <row r="100" spans="1:6" x14ac:dyDescent="0.25">
      <c r="A100" s="40" t="str">
        <f>FanduelExcel!B95</f>
        <v>SG</v>
      </c>
      <c r="B100" s="40" t="str">
        <f>FanduelExcel!C95&amp;" "&amp;FanduelExcel!E95</f>
        <v>Courtney Lee</v>
      </c>
      <c r="C100">
        <v>26.6</v>
      </c>
      <c r="D100" s="40">
        <f>VLOOKUP(B100,FanduelExcelSub!$B$1:$C$434,2, FALSE)</f>
        <v>4400</v>
      </c>
      <c r="E100" s="40">
        <f>VLOOKUP(B100,MaxData!$A$1:$B$373, 2,FALSE)</f>
        <v>26.6</v>
      </c>
      <c r="F100" s="40">
        <f>VLOOKUP(B100,FanduelExcelSub!$B$1:$D$434,3, FALSE)</f>
        <v>0</v>
      </c>
    </row>
    <row r="101" spans="1:6" x14ac:dyDescent="0.25">
      <c r="A101" s="40" t="str">
        <f>FanduelExcel!B175</f>
        <v>PF</v>
      </c>
      <c r="B101" s="40" t="str">
        <f>FanduelExcel!C175&amp;" "&amp;FanduelExcel!E175</f>
        <v>Nemanja Bjelica</v>
      </c>
      <c r="C101">
        <v>20.7</v>
      </c>
      <c r="D101" s="40">
        <f>VLOOKUP(B101,FanduelExcelSub!$B$1:$C$434,2, FALSE)</f>
        <v>3500</v>
      </c>
      <c r="E101" s="40">
        <f>VLOOKUP(B101,MaxData!$A$1:$B$373, 2,FALSE)</f>
        <v>20.7</v>
      </c>
      <c r="F101" s="40">
        <f>VLOOKUP(B101,FanduelExcelSub!$B$1:$D$434,3, FALSE)</f>
        <v>0</v>
      </c>
    </row>
    <row r="102" spans="1:6" x14ac:dyDescent="0.25">
      <c r="A102" s="40" t="str">
        <f>FanduelExcel!B144</f>
        <v>C</v>
      </c>
      <c r="B102" s="40" t="str">
        <f>FanduelExcel!C144&amp;" "&amp;FanduelExcel!E144</f>
        <v>JaVale McGee</v>
      </c>
      <c r="C102">
        <v>24.2</v>
      </c>
      <c r="D102" s="40">
        <f>VLOOKUP(B102,FanduelExcelSub!$B$1:$C$434,2, FALSE)</f>
        <v>3600</v>
      </c>
      <c r="E102" s="40">
        <f>VLOOKUP(B102,MaxData!$A$1:$B$373, 2,FALSE)</f>
        <v>24.2</v>
      </c>
      <c r="F102" s="40" t="str">
        <f>VLOOKUP(B102,FanduelExcelSub!$B$1:$D$434,3, FALSE)</f>
        <v>GTD</v>
      </c>
    </row>
    <row r="103" spans="1:6" x14ac:dyDescent="0.25">
      <c r="A103" s="40" t="str">
        <f>FanduelExcel!B85</f>
        <v>PG</v>
      </c>
      <c r="B103" s="40" t="str">
        <f>FanduelExcel!C85&amp;" "&amp;FanduelExcel!E85</f>
        <v>Ty Lawson</v>
      </c>
      <c r="C103">
        <v>0</v>
      </c>
      <c r="D103" s="40">
        <f>VLOOKUP(B103,FanduelExcelSub!$B$1:$C$434,2, FALSE)</f>
        <v>4600</v>
      </c>
      <c r="E103" s="40" t="e">
        <f>VLOOKUP(B103,MaxData!$A$1:$B$373, 2,FALSE)</f>
        <v>#N/A</v>
      </c>
      <c r="F103" s="40" t="str">
        <f>VLOOKUP(B103,FanduelExcelSub!$B$1:$D$434,3, FALSE)</f>
        <v>GTD</v>
      </c>
    </row>
    <row r="104" spans="1:6" x14ac:dyDescent="0.25">
      <c r="A104" s="40" t="str">
        <f>FanduelExcel!B69</f>
        <v>PF</v>
      </c>
      <c r="B104" s="40" t="str">
        <f>FanduelExcel!C69&amp;" "&amp;FanduelExcel!E69</f>
        <v>David Lee</v>
      </c>
      <c r="C104">
        <v>29.3</v>
      </c>
      <c r="D104" s="40">
        <f>VLOOKUP(B104,FanduelExcelSub!$B$1:$C$434,2, FALSE)</f>
        <v>5100</v>
      </c>
      <c r="E104" s="40">
        <f>VLOOKUP(B104,MaxData!$A$1:$B$373, 2,FALSE)</f>
        <v>29.3</v>
      </c>
      <c r="F104" s="40">
        <f>VLOOKUP(B104,FanduelExcelSub!$B$1:$D$434,3, FALSE)</f>
        <v>0</v>
      </c>
    </row>
    <row r="105" spans="1:6" x14ac:dyDescent="0.25">
      <c r="A105" s="40" t="str">
        <f>FanduelExcel!B90</f>
        <v>PG</v>
      </c>
      <c r="B105" s="40" t="str">
        <f>FanduelExcel!C90&amp;" "&amp;FanduelExcel!E90</f>
        <v>Tony Parker</v>
      </c>
      <c r="C105">
        <v>27</v>
      </c>
      <c r="D105" s="40">
        <f>VLOOKUP(B105,FanduelExcelSub!$B$1:$C$434,2, FALSE)</f>
        <v>4500</v>
      </c>
      <c r="E105" s="40">
        <f>VLOOKUP(B105,MaxData!$A$1:$B$373, 2,FALSE)</f>
        <v>27</v>
      </c>
      <c r="F105" s="40">
        <f>VLOOKUP(B105,FanduelExcelSub!$B$1:$D$434,3, FALSE)</f>
        <v>0</v>
      </c>
    </row>
    <row r="106" spans="1:6" x14ac:dyDescent="0.25">
      <c r="A106" s="40" t="str">
        <f>FanduelExcel!B127</f>
        <v>PG</v>
      </c>
      <c r="B106" s="40" t="str">
        <f>FanduelExcel!C127&amp;" "&amp;FanduelExcel!E127</f>
        <v>Kris Dunn</v>
      </c>
      <c r="C106">
        <v>20.3</v>
      </c>
      <c r="D106" s="40">
        <f>VLOOKUP(B106,FanduelExcelSub!$B$1:$C$434,2, FALSE)</f>
        <v>3800</v>
      </c>
      <c r="E106" s="40">
        <f>VLOOKUP(B106,MaxData!$A$1:$B$373, 2,FALSE)</f>
        <v>20.3</v>
      </c>
      <c r="F106" s="40" t="str">
        <f>VLOOKUP(B106,FanduelExcelSub!$B$1:$D$434,3, FALSE)</f>
        <v>GTD</v>
      </c>
    </row>
    <row r="107" spans="1:6" x14ac:dyDescent="0.25">
      <c r="A107" s="40" t="str">
        <f>FanduelExcel!B135</f>
        <v>PF</v>
      </c>
      <c r="B107" s="40" t="str">
        <f>FanduelExcel!C135&amp;" "&amp;FanduelExcel!E135</f>
        <v>Nikola Mirotic</v>
      </c>
      <c r="C107">
        <v>27.9</v>
      </c>
      <c r="D107" s="40">
        <f>VLOOKUP(B107,FanduelExcelSub!$B$1:$C$434,2, FALSE)</f>
        <v>3700</v>
      </c>
      <c r="E107" s="40">
        <f>VLOOKUP(B107,MaxData!$A$1:$B$373, 2,FALSE)</f>
        <v>27.9</v>
      </c>
      <c r="F107" s="40">
        <f>VLOOKUP(B107,FanduelExcelSub!$B$1:$D$434,3, FALSE)</f>
        <v>0</v>
      </c>
    </row>
    <row r="108" spans="1:6" x14ac:dyDescent="0.25">
      <c r="A108" s="40" t="str">
        <f>FanduelExcel!B193</f>
        <v>SF</v>
      </c>
      <c r="B108" s="40" t="str">
        <f>FanduelExcel!C193&amp;" "&amp;FanduelExcel!E193</f>
        <v>Kyle Anderson</v>
      </c>
      <c r="C108">
        <v>19.5</v>
      </c>
      <c r="D108" s="40">
        <f>VLOOKUP(B108,FanduelExcelSub!$B$1:$C$434,2, FALSE)</f>
        <v>3500</v>
      </c>
      <c r="E108" s="40">
        <f>VLOOKUP(B108,MaxData!$A$1:$B$373, 2,FALSE)</f>
        <v>19.5</v>
      </c>
      <c r="F108" s="40">
        <f>VLOOKUP(B108,FanduelExcelSub!$B$1:$D$434,3, FALSE)</f>
        <v>0</v>
      </c>
    </row>
    <row r="109" spans="1:6" x14ac:dyDescent="0.25">
      <c r="A109" s="40" t="str">
        <f>FanduelExcel!B72</f>
        <v>PG</v>
      </c>
      <c r="B109" s="40" t="str">
        <f>FanduelExcel!C72&amp;" "&amp;FanduelExcel!E72</f>
        <v>Malcolm Brogdon</v>
      </c>
      <c r="C109">
        <v>38</v>
      </c>
      <c r="D109" s="40">
        <f>VLOOKUP(B109,FanduelExcelSub!$B$1:$C$434,2, FALSE)</f>
        <v>5100</v>
      </c>
      <c r="E109" s="40">
        <f>VLOOKUP(B109,MaxData!$A$1:$B$373, 2,FALSE)</f>
        <v>38</v>
      </c>
      <c r="F109" s="40">
        <f>VLOOKUP(B109,FanduelExcelSub!$B$1:$D$434,3, FALSE)</f>
        <v>0</v>
      </c>
    </row>
    <row r="110" spans="1:6" x14ac:dyDescent="0.25">
      <c r="A110" s="40" t="str">
        <f>FanduelExcel!B162</f>
        <v>SF</v>
      </c>
      <c r="B110" s="40" t="str">
        <f>FanduelExcel!C162&amp;" "&amp;FanduelExcel!E162</f>
        <v>Mike Miller</v>
      </c>
      <c r="C110">
        <v>8.4</v>
      </c>
      <c r="D110" s="40">
        <f>VLOOKUP(B110,FanduelExcelSub!$B$1:$C$434,2, FALSE)</f>
        <v>3500</v>
      </c>
      <c r="E110" s="40">
        <f>VLOOKUP(B110,MaxData!$A$1:$B$373, 2,FALSE)</f>
        <v>8.4</v>
      </c>
      <c r="F110" s="40">
        <f>VLOOKUP(B110,FanduelExcelSub!$B$1:$D$434,3, FALSE)</f>
        <v>0</v>
      </c>
    </row>
    <row r="111" spans="1:6" x14ac:dyDescent="0.25">
      <c r="A111" s="40" t="str">
        <f>FanduelExcel!B92</f>
        <v>SG</v>
      </c>
      <c r="B111" s="40" t="str">
        <f>FanduelExcel!C92&amp;" "&amp;FanduelExcel!E92</f>
        <v>Caris LeVert</v>
      </c>
      <c r="C111">
        <v>20</v>
      </c>
      <c r="D111" s="40">
        <f>VLOOKUP(B111,FanduelExcelSub!$B$1:$C$434,2, FALSE)</f>
        <v>4400</v>
      </c>
      <c r="E111" s="40">
        <f>VLOOKUP(B111,MaxData!$A$1:$B$373, 2,FALSE)</f>
        <v>20</v>
      </c>
      <c r="F111" s="40">
        <f>VLOOKUP(B111,FanduelExcelSub!$B$1:$D$434,3, FALSE)</f>
        <v>0</v>
      </c>
    </row>
    <row r="112" spans="1:6" x14ac:dyDescent="0.25">
      <c r="A112" s="40" t="str">
        <f>FanduelExcel!B60</f>
        <v>PF</v>
      </c>
      <c r="B112" s="40" t="str">
        <f>FanduelExcel!C60&amp;" "&amp;FanduelExcel!E60</f>
        <v>Tobias Harris</v>
      </c>
      <c r="C112">
        <v>40.200000000000003</v>
      </c>
      <c r="D112" s="40">
        <f>VLOOKUP(B112,FanduelExcelSub!$B$1:$C$434,2, FALSE)</f>
        <v>5500</v>
      </c>
      <c r="E112" s="40">
        <f>VLOOKUP(B112,MaxData!$A$1:$B$373, 2,FALSE)</f>
        <v>40.200000000000003</v>
      </c>
      <c r="F112" s="40">
        <f>VLOOKUP(B112,FanduelExcelSub!$B$1:$D$434,3, FALSE)</f>
        <v>0</v>
      </c>
    </row>
    <row r="113" spans="1:6" x14ac:dyDescent="0.25">
      <c r="A113" s="40" t="str">
        <f>FanduelExcel!B188</f>
        <v>C</v>
      </c>
      <c r="B113" s="40" t="str">
        <f>FanduelExcel!C188&amp;" "&amp;FanduelExcel!E188</f>
        <v>Omer Asik</v>
      </c>
      <c r="C113">
        <v>0</v>
      </c>
      <c r="D113" s="40">
        <f>VLOOKUP(B113,FanduelExcelSub!$B$1:$C$434,2, FALSE)</f>
        <v>3500</v>
      </c>
      <c r="E113" s="40" t="e">
        <f>VLOOKUP(B113,MaxData!$A$1:$B$373, 2,FALSE)</f>
        <v>#N/A</v>
      </c>
      <c r="F113" s="40">
        <f>VLOOKUP(B113,FanduelExcelSub!$B$1:$D$434,3, FALSE)</f>
        <v>0</v>
      </c>
    </row>
    <row r="114" spans="1:6" x14ac:dyDescent="0.25">
      <c r="A114" s="40" t="str">
        <f>FanduelExcel!B203</f>
        <v>PG</v>
      </c>
      <c r="B114" s="40" t="str">
        <f>FanduelExcel!C203&amp;" "&amp;FanduelExcel!E203</f>
        <v>Spencer Dinwiddie</v>
      </c>
      <c r="C114">
        <v>22.1</v>
      </c>
      <c r="D114" s="40">
        <f>VLOOKUP(B114,FanduelExcelSub!$B$1:$C$434,2, FALSE)</f>
        <v>3500</v>
      </c>
      <c r="E114" s="40">
        <f>VLOOKUP(B114,MaxData!$A$1:$B$373, 2,FALSE)</f>
        <v>22.1</v>
      </c>
      <c r="F114" s="40">
        <f>VLOOKUP(B114,FanduelExcelSub!$B$1:$D$434,3, FALSE)</f>
        <v>0</v>
      </c>
    </row>
    <row r="115" spans="1:6" x14ac:dyDescent="0.25">
      <c r="A115" s="40" t="str">
        <f>FanduelExcel!B78</f>
        <v>SF</v>
      </c>
      <c r="B115" s="40" t="str">
        <f>FanduelExcel!C78&amp;" "&amp;FanduelExcel!E78</f>
        <v>Kent Bazemore</v>
      </c>
      <c r="C115">
        <v>29.2</v>
      </c>
      <c r="D115" s="40">
        <f>VLOOKUP(B115,FanduelExcelSub!$B$1:$C$434,2, FALSE)</f>
        <v>4700</v>
      </c>
      <c r="E115" s="40">
        <f>VLOOKUP(B115,MaxData!$A$1:$B$373, 2,FALSE)</f>
        <v>29.2</v>
      </c>
      <c r="F115" s="40">
        <f>VLOOKUP(B115,FanduelExcelSub!$B$1:$D$434,3, FALSE)</f>
        <v>0</v>
      </c>
    </row>
    <row r="116" spans="1:6" x14ac:dyDescent="0.25">
      <c r="A116" s="40" t="str">
        <f>FanduelExcel!B209</f>
        <v>SG</v>
      </c>
      <c r="B116" s="40" t="str">
        <f>FanduelExcel!C209&amp;" "&amp;FanduelExcel!E209</f>
        <v>R.J. Hunter</v>
      </c>
      <c r="C116">
        <v>0</v>
      </c>
      <c r="D116" s="40">
        <f>VLOOKUP(B116,FanduelExcelSub!$B$1:$C$434,2, FALSE)</f>
        <v>3500</v>
      </c>
      <c r="E116" s="40" t="e">
        <f>VLOOKUP(B116,MaxData!$A$1:$B$373, 2,FALSE)</f>
        <v>#N/A</v>
      </c>
      <c r="F116" s="40">
        <f>VLOOKUP(B116,FanduelExcelSub!$B$1:$D$434,3, FALSE)</f>
        <v>0</v>
      </c>
    </row>
    <row r="117" spans="1:6" x14ac:dyDescent="0.25">
      <c r="A117" s="40" t="str">
        <f>FanduelExcel!B108</f>
        <v>SF</v>
      </c>
      <c r="B117" s="40" t="str">
        <f>FanduelExcel!C108&amp;" "&amp;FanduelExcel!E108</f>
        <v>Solomon Hill</v>
      </c>
      <c r="C117">
        <v>34.5</v>
      </c>
      <c r="D117" s="40">
        <f>VLOOKUP(B117,FanduelExcelSub!$B$1:$C$434,2, FALSE)</f>
        <v>4100</v>
      </c>
      <c r="E117" s="40">
        <f>VLOOKUP(B117,MaxData!$A$1:$B$373, 2,FALSE)</f>
        <v>34.5</v>
      </c>
      <c r="F117" s="40">
        <f>VLOOKUP(B117,FanduelExcelSub!$B$1:$D$434,3, FALSE)</f>
        <v>0</v>
      </c>
    </row>
    <row r="118" spans="1:6" x14ac:dyDescent="0.25">
      <c r="A118" s="40" t="str">
        <f>FanduelExcel!B116</f>
        <v>SG</v>
      </c>
      <c r="B118" s="40" t="str">
        <f>FanduelExcel!C116&amp;" "&amp;FanduelExcel!E116</f>
        <v>Danny Green</v>
      </c>
      <c r="C118">
        <v>0</v>
      </c>
      <c r="D118" s="40">
        <f>VLOOKUP(B118,FanduelExcelSub!$B$1:$C$434,2, FALSE)</f>
        <v>3900</v>
      </c>
      <c r="E118" s="40" t="e">
        <f>VLOOKUP(B118,MaxData!$A$1:$B$373, 2,FALSE)</f>
        <v>#N/A</v>
      </c>
      <c r="F118" s="40">
        <f>VLOOKUP(B118,FanduelExcelSub!$B$1:$D$434,3, FALSE)</f>
        <v>0</v>
      </c>
    </row>
    <row r="119" spans="1:6" x14ac:dyDescent="0.25">
      <c r="A119" s="40" t="str">
        <f>FanduelExcel!B152</f>
        <v>SG</v>
      </c>
      <c r="B119" s="40" t="str">
        <f>FanduelExcel!C152&amp;" "&amp;FanduelExcel!E152</f>
        <v>Monta Ellis</v>
      </c>
      <c r="C119">
        <v>25.9</v>
      </c>
      <c r="D119" s="40">
        <f>VLOOKUP(B119,FanduelExcelSub!$B$1:$C$434,2, FALSE)</f>
        <v>3600</v>
      </c>
      <c r="E119" s="40">
        <f>VLOOKUP(B119,MaxData!$A$1:$B$373, 2,FALSE)</f>
        <v>25.9</v>
      </c>
      <c r="F119" s="40">
        <f>VLOOKUP(B119,FanduelExcelSub!$B$1:$D$434,3, FALSE)</f>
        <v>0</v>
      </c>
    </row>
    <row r="120" spans="1:6" x14ac:dyDescent="0.25">
      <c r="A120" s="40" t="str">
        <f>FanduelExcel!B89</f>
        <v>SG</v>
      </c>
      <c r="B120" s="40" t="str">
        <f>FanduelExcel!C89&amp;" "&amp;FanduelExcel!E89</f>
        <v>Tyreke Evans</v>
      </c>
      <c r="C120">
        <v>24.8</v>
      </c>
      <c r="D120" s="40">
        <f>VLOOKUP(B120,FanduelExcelSub!$B$1:$C$434,2, FALSE)</f>
        <v>4500</v>
      </c>
      <c r="E120" s="40">
        <f>VLOOKUP(B120,MaxData!$A$1:$B$373, 2,FALSE)</f>
        <v>24.8</v>
      </c>
      <c r="F120" s="40" t="str">
        <f>VLOOKUP(B120,FanduelExcelSub!$B$1:$D$434,3, FALSE)</f>
        <v>GTD</v>
      </c>
    </row>
    <row r="121" spans="1:6" x14ac:dyDescent="0.25">
      <c r="A121" s="40" t="str">
        <f>FanduelExcel!B229</f>
        <v>SF</v>
      </c>
      <c r="B121" s="40" t="str">
        <f>FanduelExcel!C229&amp;" "&amp;FanduelExcel!E229</f>
        <v>Kelly Oubre Jr.</v>
      </c>
      <c r="C121">
        <v>27.4</v>
      </c>
      <c r="D121" s="40">
        <f>VLOOKUP(B121,FanduelExcelSub!$B$1:$C$434,2, FALSE)</f>
        <v>3500</v>
      </c>
      <c r="E121" s="40">
        <f>VLOOKUP(B121,MaxData!$A$1:$B$373, 2,FALSE)</f>
        <v>27.4</v>
      </c>
      <c r="F121" s="40">
        <f>VLOOKUP(B121,FanduelExcelSub!$B$1:$D$434,3, FALSE)</f>
        <v>0</v>
      </c>
    </row>
    <row r="122" spans="1:6" x14ac:dyDescent="0.25">
      <c r="A122" s="40" t="str">
        <f>FanduelExcel!B365</f>
        <v>C</v>
      </c>
      <c r="B122" s="40" t="str">
        <f>FanduelExcel!C365&amp;" "&amp;FanduelExcel!E365</f>
        <v>Alexis Ajinca</v>
      </c>
      <c r="C122">
        <v>31</v>
      </c>
      <c r="D122" s="40">
        <f>VLOOKUP(B122,FanduelExcelSub!$B$1:$C$434,2, FALSE)</f>
        <v>3500</v>
      </c>
      <c r="E122" s="40">
        <f>VLOOKUP(B122,MaxData!$A$1:$B$373, 2,FALSE)</f>
        <v>31</v>
      </c>
      <c r="F122" s="40">
        <f>VLOOKUP(B122,FanduelExcelSub!$B$1:$D$434,3, FALSE)</f>
        <v>0</v>
      </c>
    </row>
    <row r="123" spans="1:6" x14ac:dyDescent="0.25">
      <c r="A123" s="40" t="str">
        <f>FanduelExcel!B100</f>
        <v>PG</v>
      </c>
      <c r="B123" s="40" t="str">
        <f>FanduelExcel!C100&amp;" "&amp;FanduelExcel!E100</f>
        <v>Matthew Dellavedova</v>
      </c>
      <c r="C123">
        <v>25.8</v>
      </c>
      <c r="D123" s="40">
        <f>VLOOKUP(B123,FanduelExcelSub!$B$1:$C$434,2, FALSE)</f>
        <v>4200</v>
      </c>
      <c r="E123" s="40">
        <f>VLOOKUP(B123,MaxData!$A$1:$B$373, 2,FALSE)</f>
        <v>25.8</v>
      </c>
      <c r="F123" s="40">
        <f>VLOOKUP(B123,FanduelExcelSub!$B$1:$D$434,3, FALSE)</f>
        <v>0</v>
      </c>
    </row>
    <row r="124" spans="1:6" x14ac:dyDescent="0.25">
      <c r="A124" s="40" t="str">
        <f>FanduelExcel!B93</f>
        <v>SF</v>
      </c>
      <c r="B124" s="40" t="str">
        <f>FanduelExcel!C93&amp;" "&amp;FanduelExcel!E93</f>
        <v>Michael Beasley</v>
      </c>
      <c r="C124">
        <v>23</v>
      </c>
      <c r="D124" s="40">
        <f>VLOOKUP(B124,FanduelExcelSub!$B$1:$C$434,2, FALSE)</f>
        <v>4400</v>
      </c>
      <c r="E124" s="40">
        <f>VLOOKUP(B124,MaxData!$A$1:$B$373, 2,FALSE)</f>
        <v>23</v>
      </c>
      <c r="F124" s="40">
        <f>VLOOKUP(B124,FanduelExcelSub!$B$1:$D$434,3, FALSE)</f>
        <v>0</v>
      </c>
    </row>
    <row r="125" spans="1:6" x14ac:dyDescent="0.25">
      <c r="A125" s="40" t="str">
        <f>FanduelExcel!B140</f>
        <v>PG</v>
      </c>
      <c r="B125" s="40" t="str">
        <f>FanduelExcel!C140&amp;" "&amp;FanduelExcel!E140</f>
        <v>Jordan Farmar</v>
      </c>
      <c r="C125">
        <v>0</v>
      </c>
      <c r="D125" s="40">
        <f>VLOOKUP(B125,FanduelExcelSub!$B$1:$C$434,2, FALSE)</f>
        <v>3700</v>
      </c>
      <c r="E125" s="40" t="e">
        <f>VLOOKUP(B125,MaxData!$A$1:$B$373, 2,FALSE)</f>
        <v>#N/A</v>
      </c>
      <c r="F125" s="40">
        <f>VLOOKUP(B125,FanduelExcelSub!$B$1:$D$434,3, FALSE)</f>
        <v>0</v>
      </c>
    </row>
    <row r="126" spans="1:6" x14ac:dyDescent="0.25">
      <c r="A126" s="40" t="str">
        <f>FanduelExcel!B120</f>
        <v>PG</v>
      </c>
      <c r="B126" s="40" t="str">
        <f>FanduelExcel!C120&amp;" "&amp;FanduelExcel!E120</f>
        <v>Toney Douglas</v>
      </c>
      <c r="C126">
        <v>24.9</v>
      </c>
      <c r="D126" s="40">
        <f>VLOOKUP(B126,FanduelExcelSub!$B$1:$C$434,2, FALSE)</f>
        <v>3800</v>
      </c>
      <c r="E126" s="40">
        <f>VLOOKUP(B126,MaxData!$A$1:$B$373, 2,FALSE)</f>
        <v>24.9</v>
      </c>
      <c r="F126" s="40">
        <f>VLOOKUP(B126,FanduelExcelSub!$B$1:$D$434,3, FALSE)</f>
        <v>0</v>
      </c>
    </row>
    <row r="127" spans="1:6" x14ac:dyDescent="0.25">
      <c r="A127" s="40" t="str">
        <f>FanduelExcel!B129</f>
        <v>C</v>
      </c>
      <c r="B127" s="40" t="str">
        <f>FanduelExcel!C129&amp;" "&amp;FanduelExcel!E129</f>
        <v>Joakim Noah</v>
      </c>
      <c r="C127">
        <v>0</v>
      </c>
      <c r="D127" s="40">
        <f>VLOOKUP(B127,FanduelExcelSub!$B$1:$C$434,2, FALSE)</f>
        <v>3800</v>
      </c>
      <c r="E127" s="40" t="e">
        <f>VLOOKUP(B127,MaxData!$A$1:$B$373, 2,FALSE)</f>
        <v>#N/A</v>
      </c>
      <c r="F127" s="40" t="str">
        <f>VLOOKUP(B127,FanduelExcelSub!$B$1:$D$434,3, FALSE)</f>
        <v>GTD</v>
      </c>
    </row>
    <row r="128" spans="1:6" x14ac:dyDescent="0.25">
      <c r="A128" s="40" t="str">
        <f>FanduelExcel!B157</f>
        <v>SF</v>
      </c>
      <c r="B128" s="40" t="str">
        <f>FanduelExcel!C157&amp;" "&amp;FanduelExcel!E157</f>
        <v>Thabo Sefolosha</v>
      </c>
      <c r="C128">
        <v>0</v>
      </c>
      <c r="D128" s="40">
        <f>VLOOKUP(B128,FanduelExcelSub!$B$1:$C$434,2, FALSE)</f>
        <v>3600</v>
      </c>
      <c r="E128" s="40" t="e">
        <f>VLOOKUP(B128,MaxData!$A$1:$B$373, 2,FALSE)</f>
        <v>#N/A</v>
      </c>
      <c r="F128" s="40" t="str">
        <f>VLOOKUP(B128,FanduelExcelSub!$B$1:$D$434,3, FALSE)</f>
        <v>O</v>
      </c>
    </row>
    <row r="129" spans="1:6" x14ac:dyDescent="0.25">
      <c r="A129" s="40" t="str">
        <f>FanduelExcel!B173</f>
        <v>SG</v>
      </c>
      <c r="B129" s="40" t="str">
        <f>FanduelExcel!C173&amp;" "&amp;FanduelExcel!E173</f>
        <v>Reggie Bullock</v>
      </c>
      <c r="C129">
        <v>0</v>
      </c>
      <c r="D129" s="40">
        <f>VLOOKUP(B129,FanduelExcelSub!$B$1:$C$434,2, FALSE)</f>
        <v>3500</v>
      </c>
      <c r="E129" s="40" t="e">
        <f>VLOOKUP(B129,MaxData!$A$1:$B$373, 2,FALSE)</f>
        <v>#N/A</v>
      </c>
      <c r="F129" s="40">
        <f>VLOOKUP(B129,FanduelExcelSub!$B$1:$D$434,3, FALSE)</f>
        <v>0</v>
      </c>
    </row>
    <row r="130" spans="1:6" x14ac:dyDescent="0.25">
      <c r="A130" s="40" t="str">
        <f>FanduelExcel!B401</f>
        <v>PF</v>
      </c>
      <c r="B130" s="40" t="str">
        <f>FanduelExcel!C401&amp;" "&amp;FanduelExcel!E401</f>
        <v>Dwight Powell</v>
      </c>
      <c r="C130">
        <v>29.8</v>
      </c>
      <c r="D130" s="40">
        <f>VLOOKUP(B130,FanduelExcelSub!$B$1:$C$434,2, FALSE)</f>
        <v>3500</v>
      </c>
      <c r="E130" s="40">
        <f>VLOOKUP(B130,MaxData!$A$1:$B$373, 2,FALSE)</f>
        <v>29.8</v>
      </c>
      <c r="F130" s="40">
        <f>VLOOKUP(B130,FanduelExcelSub!$B$1:$D$434,3, FALSE)</f>
        <v>0</v>
      </c>
    </row>
    <row r="131" spans="1:6" x14ac:dyDescent="0.25">
      <c r="A131" s="40" t="str">
        <f>FanduelExcel!B66</f>
        <v>SG</v>
      </c>
      <c r="B131" s="40" t="str">
        <f>FanduelExcel!C66&amp;" "&amp;FanduelExcel!E66</f>
        <v>Kentavious Caldwell-Pope</v>
      </c>
      <c r="C131">
        <v>50.3</v>
      </c>
      <c r="D131" s="40">
        <f>VLOOKUP(B131,FanduelExcelSub!$B$1:$C$434,2, FALSE)</f>
        <v>5200</v>
      </c>
      <c r="E131" s="40">
        <f>VLOOKUP(B131,MaxData!$A$1:$B$373, 2,FALSE)</f>
        <v>50.3</v>
      </c>
      <c r="F131" s="40">
        <f>VLOOKUP(B131,FanduelExcelSub!$B$1:$D$434,3, FALSE)</f>
        <v>0</v>
      </c>
    </row>
    <row r="132" spans="1:6" x14ac:dyDescent="0.25">
      <c r="A132" s="40" t="str">
        <f>FanduelExcel!B195</f>
        <v>PF</v>
      </c>
      <c r="B132" s="40" t="str">
        <f>FanduelExcel!C195&amp;" "&amp;FanduelExcel!E195</f>
        <v>Thon Maker</v>
      </c>
      <c r="C132">
        <v>26</v>
      </c>
      <c r="D132" s="40">
        <f>VLOOKUP(B132,FanduelExcelSub!$B$1:$C$434,2, FALSE)</f>
        <v>3500</v>
      </c>
      <c r="E132" s="40">
        <f>VLOOKUP(B132,MaxData!$A$1:$B$373, 2,FALSE)</f>
        <v>26</v>
      </c>
      <c r="F132" s="40">
        <f>VLOOKUP(B132,FanduelExcelSub!$B$1:$D$434,3, FALSE)</f>
        <v>0</v>
      </c>
    </row>
    <row r="133" spans="1:6" x14ac:dyDescent="0.25">
      <c r="A133" s="40" t="str">
        <f>FanduelExcel!B154</f>
        <v>SG</v>
      </c>
      <c r="B133" s="40" t="str">
        <f>FanduelExcel!C154&amp;" "&amp;FanduelExcel!E154</f>
        <v>Ben McLemore</v>
      </c>
      <c r="C133">
        <v>22.5</v>
      </c>
      <c r="D133" s="40">
        <f>VLOOKUP(B133,FanduelExcelSub!$B$1:$C$434,2, FALSE)</f>
        <v>3600</v>
      </c>
      <c r="E133" s="40">
        <f>VLOOKUP(B133,MaxData!$A$1:$B$373, 2,FALSE)</f>
        <v>22.5</v>
      </c>
      <c r="F133" s="40">
        <f>VLOOKUP(B133,FanduelExcelSub!$B$1:$D$434,3, FALSE)</f>
        <v>0</v>
      </c>
    </row>
    <row r="134" spans="1:6" x14ac:dyDescent="0.25">
      <c r="A134" s="40" t="str">
        <f>FanduelExcel!B109</f>
        <v>SF</v>
      </c>
      <c r="B134" s="40" t="str">
        <f>FanduelExcel!C109&amp;" "&amp;FanduelExcel!E109</f>
        <v>Mirza Teletovic</v>
      </c>
      <c r="C134">
        <v>27.1</v>
      </c>
      <c r="D134" s="40">
        <f>VLOOKUP(B134,FanduelExcelSub!$B$1:$C$434,2, FALSE)</f>
        <v>4100</v>
      </c>
      <c r="E134" s="40">
        <f>VLOOKUP(B134,MaxData!$A$1:$B$373, 2,FALSE)</f>
        <v>27.1</v>
      </c>
      <c r="F134" s="40">
        <f>VLOOKUP(B134,FanduelExcelSub!$B$1:$D$434,3, FALSE)</f>
        <v>0</v>
      </c>
    </row>
    <row r="135" spans="1:6" x14ac:dyDescent="0.25">
      <c r="A135" s="40" t="str">
        <f>FanduelExcel!B114</f>
        <v>SF</v>
      </c>
      <c r="B135" s="40" t="str">
        <f>FanduelExcel!C114&amp;" "&amp;FanduelExcel!E114</f>
        <v>Tony Snell</v>
      </c>
      <c r="C135">
        <v>26.7</v>
      </c>
      <c r="D135" s="40">
        <f>VLOOKUP(B135,FanduelExcelSub!$B$1:$C$434,2, FALSE)</f>
        <v>4000</v>
      </c>
      <c r="E135" s="40">
        <f>VLOOKUP(B135,MaxData!$A$1:$B$373, 2,FALSE)</f>
        <v>26.7</v>
      </c>
      <c r="F135" s="40">
        <f>VLOOKUP(B135,FanduelExcelSub!$B$1:$D$434,3, FALSE)</f>
        <v>0</v>
      </c>
    </row>
    <row r="136" spans="1:6" x14ac:dyDescent="0.25">
      <c r="A136" s="40" t="str">
        <f>FanduelExcel!B124</f>
        <v>PF</v>
      </c>
      <c r="B136" s="40" t="str">
        <f>FanduelExcel!C124&amp;" "&amp;FanduelExcel!E124</f>
        <v>Lavoy Allen</v>
      </c>
      <c r="C136">
        <v>16</v>
      </c>
      <c r="D136" s="40">
        <f>VLOOKUP(B136,FanduelExcelSub!$B$1:$C$434,2, FALSE)</f>
        <v>3800</v>
      </c>
      <c r="E136" s="40">
        <f>VLOOKUP(B136,MaxData!$A$1:$B$373, 2,FALSE)</f>
        <v>16</v>
      </c>
      <c r="F136" s="40">
        <f>VLOOKUP(B136,FanduelExcelSub!$B$1:$D$434,3, FALSE)</f>
        <v>0</v>
      </c>
    </row>
    <row r="137" spans="1:6" x14ac:dyDescent="0.25">
      <c r="A137" s="40" t="str">
        <f>FanduelExcel!B139</f>
        <v>SG</v>
      </c>
      <c r="B137" s="40" t="str">
        <f>FanduelExcel!C139&amp;" "&amp;FanduelExcel!E139</f>
        <v>Rashad Vaughn</v>
      </c>
      <c r="C137">
        <v>11.1</v>
      </c>
      <c r="D137" s="40">
        <f>VLOOKUP(B137,FanduelExcelSub!$B$1:$C$434,2, FALSE)</f>
        <v>3700</v>
      </c>
      <c r="E137" s="40">
        <f>VLOOKUP(B137,MaxData!$A$1:$B$373, 2,FALSE)</f>
        <v>11.1</v>
      </c>
      <c r="F137" s="40">
        <f>VLOOKUP(B137,FanduelExcelSub!$B$1:$D$434,3, FALSE)</f>
        <v>0</v>
      </c>
    </row>
    <row r="138" spans="1:6" x14ac:dyDescent="0.25">
      <c r="A138" s="40" t="str">
        <f>FanduelExcel!B205</f>
        <v>PF</v>
      </c>
      <c r="B138" s="40" t="str">
        <f>FanduelExcel!C205&amp;" "&amp;FanduelExcel!E205</f>
        <v>Daniel Ochefu</v>
      </c>
      <c r="C138">
        <v>0</v>
      </c>
      <c r="D138" s="40">
        <f>VLOOKUP(B138,FanduelExcelSub!$B$1:$C$434,2, FALSE)</f>
        <v>3500</v>
      </c>
      <c r="E138" s="40" t="e">
        <f>VLOOKUP(B138,MaxData!$A$1:$B$373, 2,FALSE)</f>
        <v>#N/A</v>
      </c>
      <c r="F138" s="40">
        <f>VLOOKUP(B138,FanduelExcelSub!$B$1:$D$434,3, FALSE)</f>
        <v>0</v>
      </c>
    </row>
    <row r="139" spans="1:6" x14ac:dyDescent="0.25">
      <c r="A139" s="40" t="str">
        <f>FanduelExcel!B301</f>
        <v>SF</v>
      </c>
      <c r="B139" s="40" t="str">
        <f>FanduelExcel!C301&amp;" "&amp;FanduelExcel!E301</f>
        <v>Glenn Robinson III</v>
      </c>
      <c r="C139">
        <v>29.2</v>
      </c>
      <c r="D139" s="40">
        <f>VLOOKUP(B139,FanduelExcelSub!$B$1:$C$434,2, FALSE)</f>
        <v>3500</v>
      </c>
      <c r="E139" s="40">
        <f>VLOOKUP(B139,MaxData!$A$1:$B$373, 2,FALSE)</f>
        <v>29.2</v>
      </c>
      <c r="F139" s="40">
        <f>VLOOKUP(B139,FanduelExcelSub!$B$1:$D$434,3, FALSE)</f>
        <v>0</v>
      </c>
    </row>
    <row r="140" spans="1:6" x14ac:dyDescent="0.25">
      <c r="A140" s="40" t="str">
        <f>FanduelExcel!B102</f>
        <v>PG</v>
      </c>
      <c r="B140" s="40" t="str">
        <f>FanduelExcel!C102&amp;" "&amp;FanduelExcel!E102</f>
        <v>Shaun Livingston</v>
      </c>
      <c r="C140">
        <v>13.4</v>
      </c>
      <c r="D140" s="40">
        <f>VLOOKUP(B140,FanduelExcelSub!$B$1:$C$434,2, FALSE)</f>
        <v>4200</v>
      </c>
      <c r="E140" s="40">
        <f>VLOOKUP(B140,MaxData!$A$1:$B$373, 2,FALSE)</f>
        <v>13.4</v>
      </c>
      <c r="F140" s="40">
        <f>VLOOKUP(B140,FanduelExcelSub!$B$1:$D$434,3, FALSE)</f>
        <v>0</v>
      </c>
    </row>
    <row r="141" spans="1:6" x14ac:dyDescent="0.25">
      <c r="A141" s="40" t="str">
        <f>FanduelExcel!B249</f>
        <v>SG</v>
      </c>
      <c r="B141" s="40" t="str">
        <f>FanduelExcel!C249&amp;" "&amp;FanduelExcel!E249</f>
        <v>Sheldon McClellan</v>
      </c>
      <c r="C141">
        <v>0</v>
      </c>
      <c r="D141" s="40">
        <f>VLOOKUP(B141,FanduelExcelSub!$B$1:$C$434,2, FALSE)</f>
        <v>3500</v>
      </c>
      <c r="E141" s="40" t="e">
        <f>VLOOKUP(B141,MaxData!$A$1:$B$373, 2,FALSE)</f>
        <v>#N/A</v>
      </c>
      <c r="F141" s="40">
        <f>VLOOKUP(B141,FanduelExcelSub!$B$1:$D$434,3, FALSE)</f>
        <v>0</v>
      </c>
    </row>
    <row r="142" spans="1:6" x14ac:dyDescent="0.25">
      <c r="A142" s="40" t="str">
        <f>FanduelExcel!B183</f>
        <v>C</v>
      </c>
      <c r="B142" s="40" t="str">
        <f>FanduelExcel!C183&amp;" "&amp;FanduelExcel!E183</f>
        <v>Damian Jones</v>
      </c>
      <c r="C142">
        <v>6.2</v>
      </c>
      <c r="D142" s="40">
        <f>VLOOKUP(B142,FanduelExcelSub!$B$1:$C$434,2, FALSE)</f>
        <v>3500</v>
      </c>
      <c r="E142" s="40">
        <f>VLOOKUP(B142,MaxData!$A$1:$B$373, 2,FALSE)</f>
        <v>6.2</v>
      </c>
      <c r="F142" s="40">
        <f>VLOOKUP(B142,FanduelExcelSub!$B$1:$D$434,3, FALSE)</f>
        <v>0</v>
      </c>
    </row>
    <row r="143" spans="1:6" x14ac:dyDescent="0.25">
      <c r="A143" s="40" t="str">
        <f>FanduelExcel!B178</f>
        <v>PF</v>
      </c>
      <c r="B143" s="40" t="str">
        <f>FanduelExcel!C178&amp;" "&amp;FanduelExcel!E178</f>
        <v>Chris McCullough</v>
      </c>
      <c r="C143">
        <v>0</v>
      </c>
      <c r="D143" s="40">
        <f>VLOOKUP(B143,FanduelExcelSub!$B$1:$C$434,2, FALSE)</f>
        <v>3500</v>
      </c>
      <c r="E143" s="40" t="e">
        <f>VLOOKUP(B143,MaxData!$A$1:$B$373, 2,FALSE)</f>
        <v>#N/A</v>
      </c>
      <c r="F143" s="40">
        <f>VLOOKUP(B143,FanduelExcelSub!$B$1:$D$434,3, FALSE)</f>
        <v>0</v>
      </c>
    </row>
    <row r="144" spans="1:6" x14ac:dyDescent="0.25">
      <c r="A144" s="40" t="str">
        <f>FanduelExcel!B190</f>
        <v>SG</v>
      </c>
      <c r="B144" s="40" t="str">
        <f>FanduelExcel!C190&amp;" "&amp;FanduelExcel!E190</f>
        <v>Malachi Richardson</v>
      </c>
      <c r="C144">
        <v>23.4</v>
      </c>
      <c r="D144" s="40">
        <f>VLOOKUP(B144,FanduelExcelSub!$B$1:$C$434,2, FALSE)</f>
        <v>3500</v>
      </c>
      <c r="E144" s="40">
        <f>VLOOKUP(B144,MaxData!$A$1:$B$373, 2,FALSE)</f>
        <v>23.4</v>
      </c>
      <c r="F144" s="40">
        <f>VLOOKUP(B144,FanduelExcelSub!$B$1:$D$434,3, FALSE)</f>
        <v>0</v>
      </c>
    </row>
    <row r="145" spans="1:6" x14ac:dyDescent="0.25">
      <c r="A145" s="40" t="str">
        <f>FanduelExcel!B177</f>
        <v>PF</v>
      </c>
      <c r="B145" s="40" t="str">
        <f>FanduelExcel!C177&amp;" "&amp;FanduelExcel!E177</f>
        <v>James Michael McAdoo</v>
      </c>
      <c r="C145">
        <v>22.8</v>
      </c>
      <c r="D145" s="40">
        <f>VLOOKUP(B145,FanduelExcelSub!$B$1:$C$434,2, FALSE)</f>
        <v>3500</v>
      </c>
      <c r="E145" s="40">
        <f>VLOOKUP(B145,MaxData!$A$1:$B$373, 2,FALSE)</f>
        <v>22.8</v>
      </c>
      <c r="F145" s="40">
        <f>VLOOKUP(B145,FanduelExcelSub!$B$1:$D$434,3, FALSE)</f>
        <v>0</v>
      </c>
    </row>
    <row r="146" spans="1:6" x14ac:dyDescent="0.25">
      <c r="A146" s="40" t="str">
        <f>FanduelExcel!B145</f>
        <v>PF</v>
      </c>
      <c r="B146" s="40" t="str">
        <f>FanduelExcel!C145&amp;" "&amp;FanduelExcel!E145</f>
        <v>Cheick Diallo</v>
      </c>
      <c r="C146">
        <v>0</v>
      </c>
      <c r="D146" s="40">
        <f>VLOOKUP(B146,FanduelExcelSub!$B$1:$C$434,2, FALSE)</f>
        <v>3600</v>
      </c>
      <c r="E146" s="40" t="e">
        <f>VLOOKUP(B146,MaxData!$A$1:$B$373, 2,FALSE)</f>
        <v>#N/A</v>
      </c>
      <c r="F146" s="40">
        <f>VLOOKUP(B146,FanduelExcelSub!$B$1:$D$434,3, FALSE)</f>
        <v>0</v>
      </c>
    </row>
    <row r="147" spans="1:6" x14ac:dyDescent="0.25">
      <c r="A147" s="40" t="str">
        <f>FanduelExcel!B176</f>
        <v>PF</v>
      </c>
      <c r="B147" s="40" t="str">
        <f>FanduelExcel!C176&amp;" "&amp;FanduelExcel!E176</f>
        <v>Deyonta Davis</v>
      </c>
      <c r="C147">
        <v>0</v>
      </c>
      <c r="D147" s="40">
        <f>VLOOKUP(B147,FanduelExcelSub!$B$1:$C$434,2, FALSE)</f>
        <v>3500</v>
      </c>
      <c r="E147" s="40" t="e">
        <f>VLOOKUP(B147,MaxData!$A$1:$B$373, 2,FALSE)</f>
        <v>#N/A</v>
      </c>
      <c r="F147" s="40">
        <f>VLOOKUP(B147,FanduelExcelSub!$B$1:$D$434,3, FALSE)</f>
        <v>0</v>
      </c>
    </row>
    <row r="148" spans="1:6" x14ac:dyDescent="0.25">
      <c r="A148" s="40" t="str">
        <f>FanduelExcel!B204</f>
        <v>PF</v>
      </c>
      <c r="B148" s="40" t="str">
        <f>FanduelExcel!C204&amp;" "&amp;FanduelExcel!E204</f>
        <v>Donatas Motiejunas</v>
      </c>
      <c r="C148">
        <v>20.6</v>
      </c>
      <c r="D148" s="40">
        <f>VLOOKUP(B148,FanduelExcelSub!$B$1:$C$434,2, FALSE)</f>
        <v>3500</v>
      </c>
      <c r="E148" s="40">
        <f>VLOOKUP(B148,MaxData!$A$1:$B$373, 2,FALSE)</f>
        <v>20.6</v>
      </c>
      <c r="F148" s="40">
        <f>VLOOKUP(B148,FanduelExcelSub!$B$1:$D$434,3, FALSE)</f>
        <v>0</v>
      </c>
    </row>
    <row r="149" spans="1:6" x14ac:dyDescent="0.25">
      <c r="A149" s="40" t="str">
        <f>FanduelExcel!B206</f>
        <v>PG</v>
      </c>
      <c r="B149" s="40" t="str">
        <f>FanduelExcel!C206&amp;" "&amp;FanduelExcel!E206</f>
        <v>Ron Baker</v>
      </c>
      <c r="C149">
        <v>11.2</v>
      </c>
      <c r="D149" s="40">
        <f>VLOOKUP(B149,FanduelExcelSub!$B$1:$C$434,2, FALSE)</f>
        <v>3500</v>
      </c>
      <c r="E149" s="40">
        <f>VLOOKUP(B149,MaxData!$A$1:$B$373, 2,FALSE)</f>
        <v>11.2</v>
      </c>
      <c r="F149" s="40">
        <f>VLOOKUP(B149,FanduelExcelSub!$B$1:$D$434,3, FALSE)</f>
        <v>0</v>
      </c>
    </row>
    <row r="150" spans="1:6" x14ac:dyDescent="0.25">
      <c r="A150" s="40" t="str">
        <f>FanduelExcel!B133</f>
        <v>PG</v>
      </c>
      <c r="B150" s="40" t="str">
        <f>FanduelExcel!C133&amp;" "&amp;FanduelExcel!E133</f>
        <v>Jerian Grant</v>
      </c>
      <c r="C150">
        <v>22.5</v>
      </c>
      <c r="D150" s="40">
        <f>VLOOKUP(B150,FanduelExcelSub!$B$1:$C$434,2, FALSE)</f>
        <v>3700</v>
      </c>
      <c r="E150" s="40">
        <f>VLOOKUP(B150,MaxData!$A$1:$B$373, 2,FALSE)</f>
        <v>22.5</v>
      </c>
      <c r="F150" s="40">
        <f>VLOOKUP(B150,FanduelExcelSub!$B$1:$D$434,3, FALSE)</f>
        <v>0</v>
      </c>
    </row>
    <row r="151" spans="1:6" x14ac:dyDescent="0.25">
      <c r="A151" s="40" t="str">
        <f>FanduelExcel!B142</f>
        <v>PG</v>
      </c>
      <c r="B151" s="40" t="str">
        <f>FanduelExcel!C142&amp;" "&amp;FanduelExcel!E142</f>
        <v>Ronnie Price</v>
      </c>
      <c r="C151">
        <v>0</v>
      </c>
      <c r="D151" s="40">
        <f>VLOOKUP(B151,FanduelExcelSub!$B$1:$C$434,2, FALSE)</f>
        <v>3700</v>
      </c>
      <c r="E151" s="40" t="e">
        <f>VLOOKUP(B151,MaxData!$A$1:$B$373, 2,FALSE)</f>
        <v>#N/A</v>
      </c>
      <c r="F151" s="40">
        <f>VLOOKUP(B151,FanduelExcelSub!$B$1:$D$434,3, FALSE)</f>
        <v>0</v>
      </c>
    </row>
    <row r="152" spans="1:6" x14ac:dyDescent="0.25">
      <c r="A152" s="40" t="str">
        <f>FanduelExcel!B191</f>
        <v>PF</v>
      </c>
      <c r="B152" s="40" t="str">
        <f>FanduelExcel!C191&amp;" "&amp;FanduelExcel!E191</f>
        <v>Maurice Ndour</v>
      </c>
      <c r="C152">
        <v>0</v>
      </c>
      <c r="D152" s="40">
        <f>VLOOKUP(B152,FanduelExcelSub!$B$1:$C$434,2, FALSE)</f>
        <v>3500</v>
      </c>
      <c r="E152" s="40" t="e">
        <f>VLOOKUP(B152,MaxData!$A$1:$B$373, 2,FALSE)</f>
        <v>#N/A</v>
      </c>
      <c r="F152" s="40">
        <f>VLOOKUP(B152,FanduelExcelSub!$B$1:$D$434,3, FALSE)</f>
        <v>0</v>
      </c>
    </row>
    <row r="153" spans="1:6" x14ac:dyDescent="0.25">
      <c r="A153" s="40" t="str">
        <f>FanduelExcel!B153</f>
        <v>SG</v>
      </c>
      <c r="B153" s="40" t="str">
        <f>FanduelExcel!C153&amp;" "&amp;FanduelExcel!E153</f>
        <v>Brandon Rush</v>
      </c>
      <c r="C153">
        <v>15.9</v>
      </c>
      <c r="D153" s="40">
        <f>VLOOKUP(B153,FanduelExcelSub!$B$1:$C$434,2, FALSE)</f>
        <v>3600</v>
      </c>
      <c r="E153" s="40">
        <f>VLOOKUP(B153,MaxData!$A$1:$B$373, 2,FALSE)</f>
        <v>15.9</v>
      </c>
      <c r="F153" s="40">
        <f>VLOOKUP(B153,FanduelExcelSub!$B$1:$D$434,3, FALSE)</f>
        <v>0</v>
      </c>
    </row>
    <row r="154" spans="1:6" x14ac:dyDescent="0.25">
      <c r="A154" s="40" t="str">
        <f>FanduelExcel!B98</f>
        <v>PF</v>
      </c>
      <c r="B154" s="40" t="str">
        <f>FanduelExcel!C98&amp;" "&amp;FanduelExcel!E98</f>
        <v>Darrell Arthur</v>
      </c>
      <c r="C154">
        <v>20.6</v>
      </c>
      <c r="D154" s="40">
        <f>VLOOKUP(B154,FanduelExcelSub!$B$1:$C$434,2, FALSE)</f>
        <v>4300</v>
      </c>
      <c r="E154" s="40">
        <f>VLOOKUP(B154,MaxData!$A$1:$B$373, 2,FALSE)</f>
        <v>20.6</v>
      </c>
      <c r="F154" s="40">
        <f>VLOOKUP(B154,FanduelExcelSub!$B$1:$D$434,3, FALSE)</f>
        <v>0</v>
      </c>
    </row>
    <row r="155" spans="1:6" x14ac:dyDescent="0.25">
      <c r="A155" s="40" t="str">
        <f>FanduelExcel!B211</f>
        <v>PG</v>
      </c>
      <c r="B155" s="40" t="str">
        <f>FanduelExcel!C211&amp;" "&amp;FanduelExcel!E211</f>
        <v>Patty Mills</v>
      </c>
      <c r="C155">
        <v>26.4</v>
      </c>
      <c r="D155" s="40">
        <f>VLOOKUP(B155,FanduelExcelSub!$B$1:$C$434,2, FALSE)</f>
        <v>3500</v>
      </c>
      <c r="E155" s="40">
        <f>VLOOKUP(B155,MaxData!$A$1:$B$373, 2,FALSE)</f>
        <v>26.4</v>
      </c>
      <c r="F155" s="40">
        <f>VLOOKUP(B155,FanduelExcelSub!$B$1:$D$434,3, FALSE)</f>
        <v>0</v>
      </c>
    </row>
    <row r="156" spans="1:6" x14ac:dyDescent="0.25">
      <c r="A156" s="40" t="str">
        <f>FanduelExcel!B148</f>
        <v>PG</v>
      </c>
      <c r="B156" s="40" t="str">
        <f>FanduelExcel!C148&amp;" "&amp;FanduelExcel!E148</f>
        <v>Tim Frazier</v>
      </c>
      <c r="C156">
        <v>19.600000000000001</v>
      </c>
      <c r="D156" s="40">
        <f>VLOOKUP(B156,FanduelExcelSub!$B$1:$C$434,2, FALSE)</f>
        <v>3600</v>
      </c>
      <c r="E156" s="40">
        <f>VLOOKUP(B156,MaxData!$A$1:$B$373, 2,FALSE)</f>
        <v>19.600000000000001</v>
      </c>
      <c r="F156" s="40">
        <f>VLOOKUP(B156,FanduelExcelSub!$B$1:$D$434,3, FALSE)</f>
        <v>0</v>
      </c>
    </row>
    <row r="157" spans="1:6" x14ac:dyDescent="0.25">
      <c r="A157" s="40" t="str">
        <f>FanduelExcel!B156</f>
        <v>C</v>
      </c>
      <c r="B157" s="40" t="str">
        <f>FanduelExcel!C156&amp;" "&amp;FanduelExcel!E156</f>
        <v>Justin Hamilton</v>
      </c>
      <c r="C157">
        <v>24.4</v>
      </c>
      <c r="D157" s="40">
        <f>VLOOKUP(B157,FanduelExcelSub!$B$1:$C$434,2, FALSE)</f>
        <v>3600</v>
      </c>
      <c r="E157" s="40">
        <f>VLOOKUP(B157,MaxData!$A$1:$B$373, 2,FALSE)</f>
        <v>24.4</v>
      </c>
      <c r="F157" s="40">
        <f>VLOOKUP(B157,FanduelExcelSub!$B$1:$D$434,3, FALSE)</f>
        <v>0</v>
      </c>
    </row>
    <row r="158" spans="1:6" x14ac:dyDescent="0.25">
      <c r="A158" s="40" t="str">
        <f>FanduelExcel!B394</f>
        <v>C</v>
      </c>
      <c r="B158" s="40" t="str">
        <f>FanduelExcel!C394&amp;" "&amp;FanduelExcel!E394</f>
        <v>Jusuf Nurkic</v>
      </c>
      <c r="C158">
        <v>26.9</v>
      </c>
      <c r="D158" s="40">
        <f>VLOOKUP(B158,FanduelExcelSub!$B$1:$C$434,2, FALSE)</f>
        <v>3700</v>
      </c>
      <c r="E158" s="40">
        <f>VLOOKUP(B158,MaxData!$A$1:$B$373, 2,FALSE)</f>
        <v>26.9</v>
      </c>
      <c r="F158" s="40">
        <f>VLOOKUP(B158,FanduelExcelSub!$B$1:$D$434,3, FALSE)</f>
        <v>0</v>
      </c>
    </row>
    <row r="159" spans="1:6" x14ac:dyDescent="0.25">
      <c r="A159" s="40" t="str">
        <f>FanduelExcel!B208</f>
        <v>SF</v>
      </c>
      <c r="B159" s="40" t="str">
        <f>FanduelExcel!C208&amp;" "&amp;FanduelExcel!E208</f>
        <v>Davis Bertans</v>
      </c>
      <c r="C159">
        <v>25.7</v>
      </c>
      <c r="D159" s="40">
        <f>VLOOKUP(B159,FanduelExcelSub!$B$1:$C$434,2, FALSE)</f>
        <v>3500</v>
      </c>
      <c r="E159" s="40">
        <f>VLOOKUP(B159,MaxData!$A$1:$B$373, 2,FALSE)</f>
        <v>25.7</v>
      </c>
      <c r="F159" s="40">
        <f>VLOOKUP(B159,FanduelExcelSub!$B$1:$D$434,3, FALSE)</f>
        <v>0</v>
      </c>
    </row>
    <row r="160" spans="1:6" x14ac:dyDescent="0.25">
      <c r="A160" s="40" t="str">
        <f>FanduelExcel!B170</f>
        <v>PF</v>
      </c>
      <c r="B160" s="40" t="str">
        <f>FanduelExcel!C170&amp;" "&amp;FanduelExcel!E170</f>
        <v>Skal Labissiere</v>
      </c>
      <c r="C160">
        <v>0</v>
      </c>
      <c r="D160" s="40">
        <f>VLOOKUP(B160,FanduelExcelSub!$B$1:$C$434,2, FALSE)</f>
        <v>3500</v>
      </c>
      <c r="E160" s="40" t="e">
        <f>VLOOKUP(B160,MaxData!$A$1:$B$373, 2,FALSE)</f>
        <v>#N/A</v>
      </c>
      <c r="F160" s="40">
        <f>VLOOKUP(B160,FanduelExcelSub!$B$1:$D$434,3, FALSE)</f>
        <v>0</v>
      </c>
    </row>
    <row r="161" spans="1:6" x14ac:dyDescent="0.25">
      <c r="A161" s="40" t="str">
        <f>FanduelExcel!B141</f>
        <v>PF</v>
      </c>
      <c r="B161" s="40" t="str">
        <f>FanduelExcel!C141&amp;" "&amp;FanduelExcel!E141</f>
        <v>Jason Smith</v>
      </c>
      <c r="C161">
        <v>26.6</v>
      </c>
      <c r="D161" s="40">
        <f>VLOOKUP(B161,FanduelExcelSub!$B$1:$C$434,2, FALSE)</f>
        <v>3700</v>
      </c>
      <c r="E161" s="40">
        <f>VLOOKUP(B161,MaxData!$A$1:$B$373, 2,FALSE)</f>
        <v>26.6</v>
      </c>
      <c r="F161" s="40">
        <f>VLOOKUP(B161,FanduelExcelSub!$B$1:$D$434,3, FALSE)</f>
        <v>0</v>
      </c>
    </row>
    <row r="162" spans="1:6" x14ac:dyDescent="0.25">
      <c r="A162" s="40" t="str">
        <f>FanduelExcel!B197</f>
        <v>SF</v>
      </c>
      <c r="B162" s="40" t="str">
        <f>FanduelExcel!C197&amp;" "&amp;FanduelExcel!E197</f>
        <v>Steve Novak</v>
      </c>
      <c r="C162">
        <v>0</v>
      </c>
      <c r="D162" s="40">
        <f>VLOOKUP(B162,FanduelExcelSub!$B$1:$C$434,2, FALSE)</f>
        <v>3500</v>
      </c>
      <c r="E162" s="40" t="e">
        <f>VLOOKUP(B162,MaxData!$A$1:$B$373, 2,FALSE)</f>
        <v>#N/A</v>
      </c>
      <c r="F162" s="40">
        <f>VLOOKUP(B162,FanduelExcelSub!$B$1:$D$434,3, FALSE)</f>
        <v>0</v>
      </c>
    </row>
    <row r="163" spans="1:6" x14ac:dyDescent="0.25">
      <c r="A163" s="40" t="str">
        <f>FanduelExcel!B388</f>
        <v>PG</v>
      </c>
      <c r="B163" s="40" t="str">
        <f>FanduelExcel!C388&amp;" "&amp;FanduelExcel!E388</f>
        <v>Patty Mills</v>
      </c>
      <c r="C163">
        <v>26.4</v>
      </c>
      <c r="D163" s="40">
        <f>VLOOKUP(B163,FanduelExcelSub!$B$1:$C$434,2, FALSE)</f>
        <v>3500</v>
      </c>
      <c r="E163" s="40">
        <f>VLOOKUP(B163,MaxData!$A$1:$B$373, 2,FALSE)</f>
        <v>26.4</v>
      </c>
      <c r="F163" s="40">
        <f>VLOOKUP(B163,FanduelExcelSub!$B$1:$D$434,3, FALSE)</f>
        <v>0</v>
      </c>
    </row>
    <row r="164" spans="1:6" x14ac:dyDescent="0.25">
      <c r="A164" s="40" t="str">
        <f>FanduelExcel!B226</f>
        <v>PF</v>
      </c>
      <c r="B164" s="40" t="str">
        <f>FanduelExcel!C226&amp;" "&amp;FanduelExcel!E226</f>
        <v>Kris Humphries</v>
      </c>
      <c r="C164">
        <v>15.6</v>
      </c>
      <c r="D164" s="40">
        <f>VLOOKUP(B164,FanduelExcelSub!$B$1:$C$434,2, FALSE)</f>
        <v>3500</v>
      </c>
      <c r="E164" s="40">
        <f>VLOOKUP(B164,MaxData!$A$1:$B$373, 2,FALSE)</f>
        <v>15.6</v>
      </c>
      <c r="F164" s="40">
        <f>VLOOKUP(B164,FanduelExcelSub!$B$1:$D$434,3, FALSE)</f>
        <v>0</v>
      </c>
    </row>
    <row r="165" spans="1:6" x14ac:dyDescent="0.25">
      <c r="A165" s="40" t="str">
        <f>FanduelExcel!B276</f>
        <v>PF</v>
      </c>
      <c r="B165" s="40" t="str">
        <f>FanduelExcel!C276&amp;" "&amp;FanduelExcel!E276</f>
        <v>Thon Maker</v>
      </c>
      <c r="C165">
        <v>26</v>
      </c>
      <c r="D165" s="40">
        <f>VLOOKUP(B165,FanduelExcelSub!$B$1:$C$434,2, FALSE)</f>
        <v>3500</v>
      </c>
      <c r="E165" s="40">
        <f>VLOOKUP(B165,MaxData!$A$1:$B$373, 2,FALSE)</f>
        <v>26</v>
      </c>
      <c r="F165" s="40">
        <f>VLOOKUP(B165,FanduelExcelSub!$B$1:$D$434,3, FALSE)</f>
        <v>0</v>
      </c>
    </row>
    <row r="166" spans="1:6" x14ac:dyDescent="0.25">
      <c r="A166" s="40" t="str">
        <f>FanduelExcel!B179</f>
        <v>PG</v>
      </c>
      <c r="B166" s="40" t="str">
        <f>FanduelExcel!C179&amp;" "&amp;FanduelExcel!E179</f>
        <v>Tyler Ulis</v>
      </c>
      <c r="C166">
        <v>0</v>
      </c>
      <c r="D166" s="40">
        <f>VLOOKUP(B166,FanduelExcelSub!$B$1:$C$434,2, FALSE)</f>
        <v>3500</v>
      </c>
      <c r="E166" s="40" t="e">
        <f>VLOOKUP(B166,MaxData!$A$1:$B$373, 2,FALSE)</f>
        <v>#N/A</v>
      </c>
      <c r="F166" s="40">
        <f>VLOOKUP(B166,FanduelExcelSub!$B$1:$D$434,3, FALSE)</f>
        <v>0</v>
      </c>
    </row>
    <row r="167" spans="1:6" x14ac:dyDescent="0.25">
      <c r="A167" s="40" t="str">
        <f>FanduelExcel!B194</f>
        <v>C</v>
      </c>
      <c r="B167" s="40" t="str">
        <f>FanduelExcel!C194&amp;" "&amp;FanduelExcel!E194</f>
        <v>Georgios Papagiannis</v>
      </c>
      <c r="C167">
        <v>0</v>
      </c>
      <c r="D167" s="40">
        <f>VLOOKUP(B167,FanduelExcelSub!$B$1:$C$434,2, FALSE)</f>
        <v>3500</v>
      </c>
      <c r="E167" s="40" t="e">
        <f>VLOOKUP(B167,MaxData!$A$1:$B$373, 2,FALSE)</f>
        <v>#N/A</v>
      </c>
      <c r="F167" s="40">
        <f>VLOOKUP(B167,FanduelExcelSub!$B$1:$D$434,3, FALSE)</f>
        <v>0</v>
      </c>
    </row>
    <row r="168" spans="1:6" x14ac:dyDescent="0.25">
      <c r="A168" s="40" t="str">
        <f>FanduelExcel!B198</f>
        <v>PF</v>
      </c>
      <c r="B168" s="40" t="str">
        <f>FanduelExcel!C198&amp;" "&amp;FanduelExcel!E198</f>
        <v>Juancho Hernangomez</v>
      </c>
      <c r="C168">
        <v>0</v>
      </c>
      <c r="D168" s="40">
        <f>VLOOKUP(B168,FanduelExcelSub!$B$1:$C$434,2, FALSE)</f>
        <v>3500</v>
      </c>
      <c r="E168" s="40" t="e">
        <f>VLOOKUP(B168,MaxData!$A$1:$B$373, 2,FALSE)</f>
        <v>#N/A</v>
      </c>
      <c r="F168" s="40">
        <f>VLOOKUP(B168,FanduelExcelSub!$B$1:$D$434,3, FALSE)</f>
        <v>0</v>
      </c>
    </row>
    <row r="169" spans="1:6" x14ac:dyDescent="0.25">
      <c r="A169" s="40" t="str">
        <f>FanduelExcel!B293</f>
        <v>SG</v>
      </c>
      <c r="B169" s="40" t="str">
        <f>FanduelExcel!C293&amp;" "&amp;FanduelExcel!E293</f>
        <v>Justin Holiday</v>
      </c>
      <c r="C169">
        <v>25.8</v>
      </c>
      <c r="D169" s="40">
        <f>VLOOKUP(B169,FanduelExcelSub!$B$1:$C$434,2, FALSE)</f>
        <v>3600</v>
      </c>
      <c r="E169" s="40">
        <f>VLOOKUP(B169,MaxData!$A$1:$B$373, 2,FALSE)</f>
        <v>25.8</v>
      </c>
      <c r="F169" s="40">
        <f>VLOOKUP(B169,FanduelExcelSub!$B$1:$D$434,3, FALSE)</f>
        <v>0</v>
      </c>
    </row>
    <row r="170" spans="1:6" x14ac:dyDescent="0.25">
      <c r="A170" s="40" t="str">
        <f>FanduelExcel!B332</f>
        <v>SF</v>
      </c>
      <c r="B170" s="40" t="str">
        <f>FanduelExcel!C332&amp;" "&amp;FanduelExcel!E332</f>
        <v>Jonathon Simmons</v>
      </c>
      <c r="C170">
        <v>25.8</v>
      </c>
      <c r="D170" s="40">
        <f>VLOOKUP(B170,FanduelExcelSub!$B$1:$C$434,2, FALSE)</f>
        <v>3500</v>
      </c>
      <c r="E170" s="40">
        <f>VLOOKUP(B170,MaxData!$A$1:$B$373, 2,FALSE)</f>
        <v>25.8</v>
      </c>
      <c r="F170" s="40">
        <f>VLOOKUP(B170,FanduelExcelSub!$B$1:$D$434,3, FALSE)</f>
        <v>0</v>
      </c>
    </row>
    <row r="171" spans="1:6" x14ac:dyDescent="0.25">
      <c r="A171" s="40" t="str">
        <f>FanduelExcel!B132</f>
        <v>SF</v>
      </c>
      <c r="B171" s="40" t="str">
        <f>FanduelExcel!C132&amp;" "&amp;FanduelExcel!E132</f>
        <v>Vince Carter</v>
      </c>
      <c r="C171">
        <v>31</v>
      </c>
      <c r="D171" s="40">
        <f>VLOOKUP(B171,FanduelExcelSub!$B$1:$C$434,2, FALSE)</f>
        <v>3800</v>
      </c>
      <c r="E171" s="40">
        <f>VLOOKUP(B171,MaxData!$A$1:$B$373, 2,FALSE)</f>
        <v>31</v>
      </c>
      <c r="F171" s="40">
        <f>VLOOKUP(B171,FanduelExcelSub!$B$1:$D$434,3, FALSE)</f>
        <v>0</v>
      </c>
    </row>
    <row r="172" spans="1:6" x14ac:dyDescent="0.25">
      <c r="A172" s="40" t="str">
        <f>FanduelExcel!B214</f>
        <v>SG</v>
      </c>
      <c r="B172" s="40" t="str">
        <f>FanduelExcel!C214&amp;" "&amp;FanduelExcel!E214</f>
        <v>Michael Gbinije</v>
      </c>
      <c r="C172">
        <v>0</v>
      </c>
      <c r="D172" s="40">
        <f>VLOOKUP(B172,FanduelExcelSub!$B$1:$C$434,2, FALSE)</f>
        <v>3500</v>
      </c>
      <c r="E172" s="40" t="e">
        <f>VLOOKUP(B172,MaxData!$A$1:$B$373, 2,FALSE)</f>
        <v>#N/A</v>
      </c>
      <c r="F172" s="40">
        <f>VLOOKUP(B172,FanduelExcelSub!$B$1:$D$434,3, FALSE)</f>
        <v>0</v>
      </c>
    </row>
    <row r="173" spans="1:6" x14ac:dyDescent="0.25">
      <c r="A173" s="40" t="str">
        <f>FanduelExcel!B291</f>
        <v>SF</v>
      </c>
      <c r="B173" s="40" t="str">
        <f>FanduelExcel!C291&amp;" "&amp;FanduelExcel!E291</f>
        <v>Davis Bertans</v>
      </c>
      <c r="C173">
        <v>25.7</v>
      </c>
      <c r="D173" s="40">
        <f>VLOOKUP(B173,FanduelExcelSub!$B$1:$C$434,2, FALSE)</f>
        <v>3500</v>
      </c>
      <c r="E173" s="40">
        <f>VLOOKUP(B173,MaxData!$A$1:$B$373, 2,FALSE)</f>
        <v>25.7</v>
      </c>
      <c r="F173" s="40">
        <f>VLOOKUP(B173,FanduelExcelSub!$B$1:$D$434,3, FALSE)</f>
        <v>0</v>
      </c>
    </row>
    <row r="174" spans="1:6" x14ac:dyDescent="0.25">
      <c r="A174" s="40" t="str">
        <f>FanduelExcel!B210</f>
        <v>PF</v>
      </c>
      <c r="B174" s="40" t="str">
        <f>FanduelExcel!C210&amp;" "&amp;FanduelExcel!E210</f>
        <v>Kevon Looney</v>
      </c>
      <c r="C174">
        <v>16.899999999999999</v>
      </c>
      <c r="D174" s="40">
        <f>VLOOKUP(B174,FanduelExcelSub!$B$1:$C$434,2, FALSE)</f>
        <v>3500</v>
      </c>
      <c r="E174" s="40">
        <f>VLOOKUP(B174,MaxData!$A$1:$B$373, 2,FALSE)</f>
        <v>16.899999999999999</v>
      </c>
      <c r="F174" s="40">
        <f>VLOOKUP(B174,FanduelExcelSub!$B$1:$D$434,3, FALSE)</f>
        <v>0</v>
      </c>
    </row>
    <row r="175" spans="1:6" x14ac:dyDescent="0.25">
      <c r="A175" s="40" t="str">
        <f>FanduelExcel!B221</f>
        <v>PF</v>
      </c>
      <c r="B175" s="40" t="str">
        <f>FanduelExcel!C221&amp;" "&amp;FanduelExcel!E221</f>
        <v>Okaro White</v>
      </c>
      <c r="C175">
        <v>15.5</v>
      </c>
      <c r="D175" s="40">
        <f>VLOOKUP(B175,FanduelExcelSub!$B$1:$C$434,2, FALSE)</f>
        <v>3500</v>
      </c>
      <c r="E175" s="40">
        <f>VLOOKUP(B175,MaxData!$A$1:$B$373, 2,FALSE)</f>
        <v>15.5</v>
      </c>
      <c r="F175" s="40">
        <f>VLOOKUP(B175,FanduelExcelSub!$B$1:$D$434,3, FALSE)</f>
        <v>0</v>
      </c>
    </row>
    <row r="176" spans="1:6" x14ac:dyDescent="0.25">
      <c r="A176" s="40" t="str">
        <f>FanduelExcel!B180</f>
        <v>PF</v>
      </c>
      <c r="B176" s="40" t="str">
        <f>FanduelExcel!C180&amp;" "&amp;FanduelExcel!E180</f>
        <v>Quincy Acy</v>
      </c>
      <c r="C176">
        <v>0</v>
      </c>
      <c r="D176" s="40">
        <f>VLOOKUP(B176,FanduelExcelSub!$B$1:$C$434,2, FALSE)</f>
        <v>3500</v>
      </c>
      <c r="E176" s="40" t="e">
        <f>VLOOKUP(B176,MaxData!$A$1:$B$373, 2,FALSE)</f>
        <v>#N/A</v>
      </c>
      <c r="F176" s="40" t="str">
        <f>VLOOKUP(B176,FanduelExcelSub!$B$1:$D$434,3, FALSE)</f>
        <v>O</v>
      </c>
    </row>
    <row r="177" spans="1:6" x14ac:dyDescent="0.25">
      <c r="A177" s="40" t="str">
        <f>FanduelExcel!B232</f>
        <v>C</v>
      </c>
      <c r="B177" s="40" t="str">
        <f>FanduelExcel!C232&amp;" "&amp;FanduelExcel!E232</f>
        <v>Willie Reed</v>
      </c>
      <c r="C177">
        <v>13.2</v>
      </c>
      <c r="D177" s="40">
        <f>VLOOKUP(B177,FanduelExcelSub!$B$1:$C$434,2, FALSE)</f>
        <v>3500</v>
      </c>
      <c r="E177" s="40">
        <f>VLOOKUP(B177,MaxData!$A$1:$B$373, 2,FALSE)</f>
        <v>13.2</v>
      </c>
      <c r="F177" s="40">
        <f>VLOOKUP(B177,FanduelExcelSub!$B$1:$D$434,3, FALSE)</f>
        <v>0</v>
      </c>
    </row>
    <row r="178" spans="1:6" x14ac:dyDescent="0.25">
      <c r="A178" s="40" t="str">
        <f>FanduelExcel!B143</f>
        <v>C</v>
      </c>
      <c r="B178" s="40" t="str">
        <f>FanduelExcel!C143&amp;" "&amp;FanduelExcel!E143</f>
        <v>Kosta Koufos</v>
      </c>
      <c r="C178">
        <v>24.7</v>
      </c>
      <c r="D178" s="40">
        <f>VLOOKUP(B178,FanduelExcelSub!$B$1:$C$434,2, FALSE)</f>
        <v>3600</v>
      </c>
      <c r="E178" s="40">
        <f>VLOOKUP(B178,MaxData!$A$1:$B$373, 2,FALSE)</f>
        <v>24.7</v>
      </c>
      <c r="F178" s="40">
        <f>VLOOKUP(B178,FanduelExcelSub!$B$1:$D$434,3, FALSE)</f>
        <v>0</v>
      </c>
    </row>
    <row r="179" spans="1:6" x14ac:dyDescent="0.25">
      <c r="A179" s="40" t="str">
        <f>FanduelExcel!B252</f>
        <v>SG</v>
      </c>
      <c r="B179" s="40" t="str">
        <f>FanduelExcel!C252&amp;" "&amp;FanduelExcel!E252</f>
        <v>Joe Young</v>
      </c>
      <c r="C179">
        <v>0</v>
      </c>
      <c r="D179" s="40">
        <f>VLOOKUP(B179,FanduelExcelSub!$B$1:$C$434,2, FALSE)</f>
        <v>3500</v>
      </c>
      <c r="E179" s="40" t="e">
        <f>VLOOKUP(B179,MaxData!$A$1:$B$373, 2,FALSE)</f>
        <v>#N/A</v>
      </c>
      <c r="F179" s="40">
        <f>VLOOKUP(B179,FanduelExcelSub!$B$1:$D$434,3, FALSE)</f>
        <v>0</v>
      </c>
    </row>
    <row r="180" spans="1:6" x14ac:dyDescent="0.25">
      <c r="A180" s="40" t="str">
        <f>FanduelExcel!B163</f>
        <v>SG</v>
      </c>
      <c r="B180" s="40" t="str">
        <f>FanduelExcel!C163&amp;" "&amp;FanduelExcel!E163</f>
        <v>Malik Beasley</v>
      </c>
      <c r="C180">
        <v>0</v>
      </c>
      <c r="D180" s="40">
        <f>VLOOKUP(B180,FanduelExcelSub!$B$1:$C$434,2, FALSE)</f>
        <v>3500</v>
      </c>
      <c r="E180" s="40" t="e">
        <f>VLOOKUP(B180,MaxData!$A$1:$B$373, 2,FALSE)</f>
        <v>#N/A</v>
      </c>
      <c r="F180" s="40">
        <f>VLOOKUP(B180,FanduelExcelSub!$B$1:$D$434,3, FALSE)</f>
        <v>0</v>
      </c>
    </row>
    <row r="181" spans="1:6" x14ac:dyDescent="0.25">
      <c r="A181" s="40" t="str">
        <f>FanduelExcel!B354</f>
        <v>C</v>
      </c>
      <c r="B181" s="40" t="str">
        <f>FanduelExcel!C354&amp;" "&amp;FanduelExcel!E354</f>
        <v>Kosta Koufos</v>
      </c>
      <c r="C181">
        <v>24.7</v>
      </c>
      <c r="D181" s="40">
        <f>VLOOKUP(B181,FanduelExcelSub!$B$1:$C$434,2, FALSE)</f>
        <v>3600</v>
      </c>
      <c r="E181" s="40">
        <f>VLOOKUP(B181,MaxData!$A$1:$B$373, 2,FALSE)</f>
        <v>24.7</v>
      </c>
      <c r="F181" s="40">
        <f>VLOOKUP(B181,FanduelExcelSub!$B$1:$D$434,3, FALSE)</f>
        <v>0</v>
      </c>
    </row>
    <row r="182" spans="1:6" x14ac:dyDescent="0.25">
      <c r="A182" s="40" t="str">
        <f>FanduelExcel!B246</f>
        <v>PF</v>
      </c>
      <c r="B182" s="40" t="str">
        <f>FanduelExcel!C246&amp;" "&amp;FanduelExcel!E246</f>
        <v>Thomas Robinson</v>
      </c>
      <c r="C182">
        <v>0</v>
      </c>
      <c r="D182" s="40">
        <f>VLOOKUP(B182,FanduelExcelSub!$B$1:$C$434,2, FALSE)</f>
        <v>3500</v>
      </c>
      <c r="E182" s="40" t="e">
        <f>VLOOKUP(B182,MaxData!$A$1:$B$373, 2,FALSE)</f>
        <v>#N/A</v>
      </c>
      <c r="F182" s="40">
        <f>VLOOKUP(B182,FanduelExcelSub!$B$1:$D$434,3, FALSE)</f>
        <v>0</v>
      </c>
    </row>
    <row r="183" spans="1:6" x14ac:dyDescent="0.25">
      <c r="A183" s="40" t="str">
        <f>FanduelExcel!B187</f>
        <v>C</v>
      </c>
      <c r="B183" s="40" t="str">
        <f>FanduelExcel!C187&amp;" "&amp;FanduelExcel!E187</f>
        <v>Alan Williams</v>
      </c>
      <c r="C183">
        <v>35.200000000000003</v>
      </c>
      <c r="D183" s="40">
        <f>VLOOKUP(B183,FanduelExcelSub!$B$1:$C$434,2, FALSE)</f>
        <v>3500</v>
      </c>
      <c r="E183" s="40">
        <f>VLOOKUP(B183,MaxData!$A$1:$B$373, 2,FALSE)</f>
        <v>35.200000000000003</v>
      </c>
      <c r="F183" s="40">
        <f>VLOOKUP(B183,FanduelExcelSub!$B$1:$D$434,3, FALSE)</f>
        <v>0</v>
      </c>
    </row>
    <row r="184" spans="1:6" x14ac:dyDescent="0.25">
      <c r="A184" s="40" t="str">
        <f>FanduelExcel!B196</f>
        <v>SF</v>
      </c>
      <c r="B184" s="40" t="str">
        <f>FanduelExcel!C196&amp;" "&amp;FanduelExcel!E196</f>
        <v>Troy Williams</v>
      </c>
      <c r="C184">
        <v>0</v>
      </c>
      <c r="D184" s="40">
        <f>VLOOKUP(B184,FanduelExcelSub!$B$1:$C$434,2, FALSE)</f>
        <v>3500</v>
      </c>
      <c r="E184" s="40" t="e">
        <f>VLOOKUP(B184,MaxData!$A$1:$B$373, 2,FALSE)</f>
        <v>#N/A</v>
      </c>
      <c r="F184" s="40">
        <f>VLOOKUP(B184,FanduelExcelSub!$B$1:$D$434,3, FALSE)</f>
        <v>0</v>
      </c>
    </row>
    <row r="185" spans="1:6" x14ac:dyDescent="0.25">
      <c r="A185" s="40" t="str">
        <f>FanduelExcel!B227</f>
        <v>SG</v>
      </c>
      <c r="B185" s="40" t="str">
        <f>FanduelExcel!C227&amp;" "&amp;FanduelExcel!E227</f>
        <v>Patrick McCaw</v>
      </c>
      <c r="C185">
        <v>23.2</v>
      </c>
      <c r="D185" s="40">
        <f>VLOOKUP(B185,FanduelExcelSub!$B$1:$C$434,2, FALSE)</f>
        <v>3500</v>
      </c>
      <c r="E185" s="40">
        <f>VLOOKUP(B185,MaxData!$A$1:$B$373, 2,FALSE)</f>
        <v>23.2</v>
      </c>
      <c r="F185" s="40">
        <f>VLOOKUP(B185,FanduelExcelSub!$B$1:$D$434,3, FALSE)</f>
        <v>0</v>
      </c>
    </row>
    <row r="186" spans="1:6" x14ac:dyDescent="0.25">
      <c r="A186" s="40" t="str">
        <f>FanduelExcel!B224</f>
        <v>C</v>
      </c>
      <c r="B186" s="40" t="str">
        <f>FanduelExcel!C224&amp;" "&amp;FanduelExcel!E224</f>
        <v>Edy Tavares</v>
      </c>
      <c r="C186">
        <v>0</v>
      </c>
      <c r="D186" s="40">
        <f>VLOOKUP(B186,FanduelExcelSub!$B$1:$C$434,2, FALSE)</f>
        <v>3500</v>
      </c>
      <c r="E186" s="40" t="e">
        <f>VLOOKUP(B186,MaxData!$A$1:$B$373, 2,FALSE)</f>
        <v>#N/A</v>
      </c>
      <c r="F186" s="40">
        <f>VLOOKUP(B186,FanduelExcelSub!$B$1:$D$434,3, FALSE)</f>
        <v>0</v>
      </c>
    </row>
    <row r="187" spans="1:6" x14ac:dyDescent="0.25">
      <c r="A187" s="40" t="str">
        <f>FanduelExcel!B385</f>
        <v>PG</v>
      </c>
      <c r="B187" s="40" t="str">
        <f>FanduelExcel!C385&amp;" "&amp;FanduelExcel!E385</f>
        <v>Terry Rozier</v>
      </c>
      <c r="C187">
        <v>24.3</v>
      </c>
      <c r="D187" s="40">
        <f>VLOOKUP(B187,FanduelExcelSub!$B$1:$C$434,2, FALSE)</f>
        <v>3500</v>
      </c>
      <c r="E187" s="40">
        <f>VLOOKUP(B187,MaxData!$A$1:$B$373, 2,FALSE)</f>
        <v>24.3</v>
      </c>
      <c r="F187" s="40">
        <f>VLOOKUP(B187,FanduelExcelSub!$B$1:$D$434,3, FALSE)</f>
        <v>0</v>
      </c>
    </row>
    <row r="188" spans="1:6" x14ac:dyDescent="0.25">
      <c r="A188" s="40" t="str">
        <f>FanduelExcel!B231</f>
        <v>PG</v>
      </c>
      <c r="B188" s="40" t="str">
        <f>FanduelExcel!C231&amp;" "&amp;FanduelExcel!E231</f>
        <v>Malcolm Delaney</v>
      </c>
      <c r="C188">
        <v>16</v>
      </c>
      <c r="D188" s="40">
        <f>VLOOKUP(B188,FanduelExcelSub!$B$1:$C$434,2, FALSE)</f>
        <v>3500</v>
      </c>
      <c r="E188" s="40">
        <f>VLOOKUP(B188,MaxData!$A$1:$B$373, 2,FALSE)</f>
        <v>16</v>
      </c>
      <c r="F188" s="40">
        <f>VLOOKUP(B188,FanduelExcelSub!$B$1:$D$434,3, FALSE)</f>
        <v>0</v>
      </c>
    </row>
    <row r="189" spans="1:6" x14ac:dyDescent="0.25">
      <c r="A189" s="40" t="str">
        <f>FanduelExcel!B346</f>
        <v>PF</v>
      </c>
      <c r="B189" s="40" t="str">
        <f>FanduelExcel!C346&amp;" "&amp;FanduelExcel!E346</f>
        <v>Jared Dudley</v>
      </c>
      <c r="C189">
        <v>24.2</v>
      </c>
      <c r="D189" s="40">
        <f>VLOOKUP(B189,FanduelExcelSub!$B$1:$C$434,2, FALSE)</f>
        <v>3600</v>
      </c>
      <c r="E189" s="40">
        <f>VLOOKUP(B189,MaxData!$A$1:$B$373, 2,FALSE)</f>
        <v>24.2</v>
      </c>
      <c r="F189" s="40">
        <f>VLOOKUP(B189,FanduelExcelSub!$B$1:$D$434,3, FALSE)</f>
        <v>0</v>
      </c>
    </row>
    <row r="190" spans="1:6" x14ac:dyDescent="0.25">
      <c r="A190" s="40" t="str">
        <f>FanduelExcel!B220</f>
        <v>SF</v>
      </c>
      <c r="B190" s="40" t="str">
        <f>FanduelExcel!C220&amp;" "&amp;FanduelExcel!E220</f>
        <v>Danuel House</v>
      </c>
      <c r="C190">
        <v>0</v>
      </c>
      <c r="D190" s="40">
        <f>VLOOKUP(B190,FanduelExcelSub!$B$1:$C$434,2, FALSE)</f>
        <v>3500</v>
      </c>
      <c r="E190" s="40" t="e">
        <f>VLOOKUP(B190,MaxData!$A$1:$B$373, 2,FALSE)</f>
        <v>#N/A</v>
      </c>
      <c r="F190" s="40" t="str">
        <f>VLOOKUP(B190,FanduelExcelSub!$B$1:$D$434,3, FALSE)</f>
        <v>GTD</v>
      </c>
    </row>
    <row r="191" spans="1:6" x14ac:dyDescent="0.25">
      <c r="A191" s="40" t="str">
        <f>FanduelExcel!B138</f>
        <v>C</v>
      </c>
      <c r="B191" s="40" t="str">
        <f>FanduelExcel!C138&amp;" "&amp;FanduelExcel!E138</f>
        <v>Jusuf Nurkic</v>
      </c>
      <c r="C191">
        <v>26.9</v>
      </c>
      <c r="D191" s="40">
        <f>VLOOKUP(B191,FanduelExcelSub!$B$1:$C$434,2, FALSE)</f>
        <v>3700</v>
      </c>
      <c r="E191" s="40">
        <f>VLOOKUP(B191,MaxData!$A$1:$B$373, 2,FALSE)</f>
        <v>26.9</v>
      </c>
      <c r="F191" s="40">
        <f>VLOOKUP(B191,FanduelExcelSub!$B$1:$D$434,3, FALSE)</f>
        <v>0</v>
      </c>
    </row>
    <row r="192" spans="1:6" x14ac:dyDescent="0.25">
      <c r="A192" s="40" t="str">
        <f>FanduelExcel!B248</f>
        <v>PF</v>
      </c>
      <c r="B192" s="40" t="str">
        <f>FanduelExcel!C248&amp;" "&amp;FanduelExcel!E248</f>
        <v>Udonis Haslem</v>
      </c>
      <c r="C192">
        <v>0</v>
      </c>
      <c r="D192" s="40">
        <f>VLOOKUP(B192,FanduelExcelSub!$B$1:$C$434,2, FALSE)</f>
        <v>3500</v>
      </c>
      <c r="E192" s="40" t="e">
        <f>VLOOKUP(B192,MaxData!$A$1:$B$373, 2,FALSE)</f>
        <v>#N/A</v>
      </c>
      <c r="F192" s="40">
        <f>VLOOKUP(B192,FanduelExcelSub!$B$1:$D$434,3, FALSE)</f>
        <v>0</v>
      </c>
    </row>
    <row r="193" spans="1:6" x14ac:dyDescent="0.25">
      <c r="A193" s="40" t="str">
        <f>FanduelExcel!B166</f>
        <v>PF</v>
      </c>
      <c r="B193" s="40" t="str">
        <f>FanduelExcel!C166&amp;" "&amp;FanduelExcel!E166</f>
        <v>Kevin Seraphin</v>
      </c>
      <c r="C193">
        <v>28.9</v>
      </c>
      <c r="D193" s="40">
        <f>VLOOKUP(B193,FanduelExcelSub!$B$1:$C$434,2, FALSE)</f>
        <v>3500</v>
      </c>
      <c r="E193" s="40">
        <f>VLOOKUP(B193,MaxData!$A$1:$B$373, 2,FALSE)</f>
        <v>28.9</v>
      </c>
      <c r="F193" s="40">
        <f>VLOOKUP(B193,FanduelExcelSub!$B$1:$D$434,3, FALSE)</f>
        <v>0</v>
      </c>
    </row>
    <row r="194" spans="1:6" x14ac:dyDescent="0.25">
      <c r="A194" s="40" t="str">
        <f>FanduelExcel!B186</f>
        <v>C</v>
      </c>
      <c r="B194" s="40" t="str">
        <f>FanduelExcel!C186&amp;" "&amp;FanduelExcel!E186</f>
        <v>Tiago Splitter</v>
      </c>
      <c r="C194">
        <v>0</v>
      </c>
      <c r="D194" s="40">
        <f>VLOOKUP(B194,FanduelExcelSub!$B$1:$C$434,2, FALSE)</f>
        <v>3500</v>
      </c>
      <c r="E194" s="40" t="e">
        <f>VLOOKUP(B194,MaxData!$A$1:$B$373, 2,FALSE)</f>
        <v>#N/A</v>
      </c>
      <c r="F194" s="40" t="str">
        <f>VLOOKUP(B194,FanduelExcelSub!$B$1:$D$434,3, FALSE)</f>
        <v>O</v>
      </c>
    </row>
    <row r="195" spans="1:6" x14ac:dyDescent="0.25">
      <c r="A195" s="40" t="str">
        <f>FanduelExcel!B408</f>
        <v>PG</v>
      </c>
      <c r="B195" s="40" t="str">
        <f>FanduelExcel!C408&amp;" "&amp;FanduelExcel!E408</f>
        <v>Isaiah Whitehead</v>
      </c>
      <c r="C195">
        <v>23.7</v>
      </c>
      <c r="D195" s="40">
        <f>VLOOKUP(B195,FanduelExcelSub!$B$1:$C$434,2, FALSE)</f>
        <v>3500</v>
      </c>
      <c r="E195" s="40">
        <f>VLOOKUP(B195,MaxData!$A$1:$B$373, 2,FALSE)</f>
        <v>23.7</v>
      </c>
      <c r="F195" s="40">
        <f>VLOOKUP(B195,FanduelExcelSub!$B$1:$D$434,3, FALSE)</f>
        <v>0</v>
      </c>
    </row>
    <row r="196" spans="1:6" x14ac:dyDescent="0.25">
      <c r="A196" s="40" t="str">
        <f>FanduelExcel!B94</f>
        <v>SG</v>
      </c>
      <c r="B196" s="40" t="str">
        <f>FanduelExcel!C94&amp;" "&amp;FanduelExcel!E94</f>
        <v>Khris Middleton</v>
      </c>
      <c r="C196">
        <v>39.1</v>
      </c>
      <c r="D196" s="40">
        <f>VLOOKUP(B196,FanduelExcelSub!$B$1:$C$434,2, FALSE)</f>
        <v>4400</v>
      </c>
      <c r="E196" s="40">
        <f>VLOOKUP(B196,MaxData!$A$1:$B$373, 2,FALSE)</f>
        <v>39.1</v>
      </c>
      <c r="F196" s="40">
        <f>VLOOKUP(B196,FanduelExcelSub!$B$1:$D$434,3, FALSE)</f>
        <v>0</v>
      </c>
    </row>
    <row r="197" spans="1:6" x14ac:dyDescent="0.25">
      <c r="A197" s="40" t="str">
        <f>FanduelExcel!B376</f>
        <v>SG</v>
      </c>
      <c r="B197" s="40" t="str">
        <f>FanduelExcel!C376&amp;" "&amp;FanduelExcel!E376</f>
        <v>Malachi Richardson</v>
      </c>
      <c r="C197">
        <v>23.4</v>
      </c>
      <c r="D197" s="40">
        <f>VLOOKUP(B197,FanduelExcelSub!$B$1:$C$434,2, FALSE)</f>
        <v>3500</v>
      </c>
      <c r="E197" s="40">
        <f>VLOOKUP(B197,MaxData!$A$1:$B$373, 2,FALSE)</f>
        <v>23.4</v>
      </c>
      <c r="F197" s="40">
        <f>VLOOKUP(B197,FanduelExcelSub!$B$1:$D$434,3, FALSE)</f>
        <v>0</v>
      </c>
    </row>
    <row r="198" spans="1:6" x14ac:dyDescent="0.25">
      <c r="A198" s="40" t="str">
        <f>FanduelExcel!B213</f>
        <v>SG</v>
      </c>
      <c r="B198" s="40" t="str">
        <f>FanduelExcel!C213&amp;" "&amp;FanduelExcel!E213</f>
        <v>Lamar Patterson</v>
      </c>
      <c r="C198">
        <v>9.9</v>
      </c>
      <c r="D198" s="40">
        <f>VLOOKUP(B198,FanduelExcelSub!$B$1:$C$434,2, FALSE)</f>
        <v>3500</v>
      </c>
      <c r="E198" s="40">
        <f>VLOOKUP(B198,MaxData!$A$1:$B$373, 2,FALSE)</f>
        <v>9.9</v>
      </c>
      <c r="F198" s="40">
        <f>VLOOKUP(B198,FanduelExcelSub!$B$1:$D$434,3, FALSE)</f>
        <v>0</v>
      </c>
    </row>
    <row r="199" spans="1:6" x14ac:dyDescent="0.25">
      <c r="A199" s="40" t="str">
        <f>FanduelExcel!B222</f>
        <v>PG</v>
      </c>
      <c r="B199" s="40" t="str">
        <f>FanduelExcel!C222&amp;" "&amp;FanduelExcel!E222</f>
        <v>Archie Goodwin</v>
      </c>
      <c r="C199">
        <v>0</v>
      </c>
      <c r="D199" s="40">
        <f>VLOOKUP(B199,FanduelExcelSub!$B$1:$C$434,2, FALSE)</f>
        <v>3500</v>
      </c>
      <c r="E199" s="40" t="e">
        <f>VLOOKUP(B199,MaxData!$A$1:$B$373, 2,FALSE)</f>
        <v>#N/A</v>
      </c>
      <c r="F199" s="40">
        <f>VLOOKUP(B199,FanduelExcelSub!$B$1:$D$434,3, FALSE)</f>
        <v>0</v>
      </c>
    </row>
    <row r="200" spans="1:6" x14ac:dyDescent="0.25">
      <c r="A200" s="40" t="str">
        <f>FanduelExcel!B236</f>
        <v>PF</v>
      </c>
      <c r="B200" s="40" t="str">
        <f>FanduelExcel!C236&amp;" "&amp;FanduelExcel!E236</f>
        <v>Luis Scola</v>
      </c>
      <c r="C200">
        <v>10.8</v>
      </c>
      <c r="D200" s="40">
        <f>VLOOKUP(B200,FanduelExcelSub!$B$1:$C$434,2, FALSE)</f>
        <v>3500</v>
      </c>
      <c r="E200" s="40">
        <f>VLOOKUP(B200,MaxData!$A$1:$B$373, 2,FALSE)</f>
        <v>10.8</v>
      </c>
      <c r="F200" s="40">
        <f>VLOOKUP(B200,FanduelExcelSub!$B$1:$D$434,3, FALSE)</f>
        <v>0</v>
      </c>
    </row>
    <row r="201" spans="1:6" x14ac:dyDescent="0.25">
      <c r="A201" s="40" t="str">
        <f>FanduelExcel!B125</f>
        <v>SG</v>
      </c>
      <c r="B201" s="40" t="str">
        <f>FanduelExcel!C125&amp;" "&amp;FanduelExcel!E125</f>
        <v>E'Twaun Moore</v>
      </c>
      <c r="C201">
        <v>27.8</v>
      </c>
      <c r="D201" s="40">
        <f>VLOOKUP(B201,FanduelExcelSub!$B$1:$C$434,2, FALSE)</f>
        <v>3800</v>
      </c>
      <c r="E201" s="40">
        <f>VLOOKUP(B201,MaxData!$A$1:$B$373, 2,FALSE)</f>
        <v>27.8</v>
      </c>
      <c r="F201" s="40">
        <f>VLOOKUP(B201,FanduelExcelSub!$B$1:$D$434,3, FALSE)</f>
        <v>0</v>
      </c>
    </row>
    <row r="202" spans="1:6" x14ac:dyDescent="0.25">
      <c r="A202" s="40" t="str">
        <f>FanduelExcel!B237</f>
        <v>C</v>
      </c>
      <c r="B202" s="40" t="str">
        <f>FanduelExcel!C237&amp;" "&amp;FanduelExcel!E237</f>
        <v>Rakeem Christmas</v>
      </c>
      <c r="C202">
        <v>0</v>
      </c>
      <c r="D202" s="40">
        <f>VLOOKUP(B202,FanduelExcelSub!$B$1:$C$434,2, FALSE)</f>
        <v>3500</v>
      </c>
      <c r="E202" s="40" t="e">
        <f>VLOOKUP(B202,MaxData!$A$1:$B$373, 2,FALSE)</f>
        <v>#N/A</v>
      </c>
      <c r="F202" s="40">
        <f>VLOOKUP(B202,FanduelExcelSub!$B$1:$D$434,3, FALSE)</f>
        <v>0</v>
      </c>
    </row>
    <row r="203" spans="1:6" x14ac:dyDescent="0.25">
      <c r="A203" s="40" t="str">
        <f>FanduelExcel!B280</f>
        <v>SG</v>
      </c>
      <c r="B203" s="40" t="str">
        <f>FanduelExcel!C280&amp;" "&amp;FanduelExcel!E280</f>
        <v>Alec Burks</v>
      </c>
      <c r="C203">
        <v>23</v>
      </c>
      <c r="D203" s="40">
        <f>VLOOKUP(B203,FanduelExcelSub!$B$1:$C$434,2, FALSE)</f>
        <v>3500</v>
      </c>
      <c r="E203" s="40">
        <f>VLOOKUP(B203,MaxData!$A$1:$B$373, 2,FALSE)</f>
        <v>23</v>
      </c>
      <c r="F203" s="40">
        <f>VLOOKUP(B203,FanduelExcelSub!$B$1:$D$434,3, FALSE)</f>
        <v>0</v>
      </c>
    </row>
    <row r="204" spans="1:6" x14ac:dyDescent="0.25">
      <c r="A204" s="40" t="str">
        <f>FanduelExcel!B367</f>
        <v>PF</v>
      </c>
      <c r="B204" s="40" t="str">
        <f>FanduelExcel!C367&amp;" "&amp;FanduelExcel!E367</f>
        <v>James Michael McAdoo</v>
      </c>
      <c r="C204">
        <v>22.8</v>
      </c>
      <c r="D204" s="40">
        <f>VLOOKUP(B204,FanduelExcelSub!$B$1:$C$434,2, FALSE)</f>
        <v>3500</v>
      </c>
      <c r="E204" s="40">
        <f>VLOOKUP(B204,MaxData!$A$1:$B$373, 2,FALSE)</f>
        <v>22.8</v>
      </c>
      <c r="F204" s="40">
        <f>VLOOKUP(B204,FanduelExcelSub!$B$1:$D$434,3, FALSE)</f>
        <v>0</v>
      </c>
    </row>
    <row r="205" spans="1:6" x14ac:dyDescent="0.25">
      <c r="A205" s="40" t="str">
        <f>FanduelExcel!B225</f>
        <v>PG</v>
      </c>
      <c r="B205" s="40" t="str">
        <f>FanduelExcel!C225&amp;" "&amp;FanduelExcel!E225</f>
        <v>Jason Terry</v>
      </c>
      <c r="C205">
        <v>17.2</v>
      </c>
      <c r="D205" s="40">
        <f>VLOOKUP(B205,FanduelExcelSub!$B$1:$C$434,2, FALSE)</f>
        <v>3500</v>
      </c>
      <c r="E205" s="40">
        <f>VLOOKUP(B205,MaxData!$A$1:$B$373, 2,FALSE)</f>
        <v>17.2</v>
      </c>
      <c r="F205" s="40">
        <f>VLOOKUP(B205,FanduelExcelSub!$B$1:$D$434,3, FALSE)</f>
        <v>0</v>
      </c>
    </row>
    <row r="206" spans="1:6" x14ac:dyDescent="0.25">
      <c r="A206" s="40" t="str">
        <f>FanduelExcel!B349</f>
        <v>PF</v>
      </c>
      <c r="B206" s="40" t="str">
        <f>FanduelExcel!C349&amp;" "&amp;FanduelExcel!E349</f>
        <v>Mike Muscala</v>
      </c>
      <c r="C206">
        <v>22.6</v>
      </c>
      <c r="D206" s="40">
        <f>VLOOKUP(B206,FanduelExcelSub!$B$1:$C$434,2, FALSE)</f>
        <v>3500</v>
      </c>
      <c r="E206" s="40">
        <f>VLOOKUP(B206,MaxData!$A$1:$B$373, 2,FALSE)</f>
        <v>22.6</v>
      </c>
      <c r="F206" s="40">
        <f>VLOOKUP(B206,FanduelExcelSub!$B$1:$D$434,3, FALSE)</f>
        <v>0</v>
      </c>
    </row>
    <row r="207" spans="1:6" x14ac:dyDescent="0.25">
      <c r="A207" s="40" t="str">
        <f>FanduelExcel!B168</f>
        <v>PG</v>
      </c>
      <c r="B207" s="40" t="str">
        <f>FanduelExcel!C168&amp;" "&amp;FanduelExcel!E168</f>
        <v>Greivis Vasquez</v>
      </c>
      <c r="C207">
        <v>0</v>
      </c>
      <c r="D207" s="40">
        <f>VLOOKUP(B207,FanduelExcelSub!$B$1:$C$434,2, FALSE)</f>
        <v>3500</v>
      </c>
      <c r="E207" s="40" t="e">
        <f>VLOOKUP(B207,MaxData!$A$1:$B$373, 2,FALSE)</f>
        <v>#N/A</v>
      </c>
      <c r="F207" s="40">
        <f>VLOOKUP(B207,FanduelExcelSub!$B$1:$D$434,3, FALSE)</f>
        <v>0</v>
      </c>
    </row>
    <row r="208" spans="1:6" x14ac:dyDescent="0.25">
      <c r="A208" s="40" t="str">
        <f>FanduelExcel!B278</f>
        <v>SG</v>
      </c>
      <c r="B208" s="40" t="str">
        <f>FanduelExcel!C278&amp;" "&amp;FanduelExcel!E278</f>
        <v>Brandon Knight</v>
      </c>
      <c r="C208">
        <v>22.4</v>
      </c>
      <c r="D208" s="40">
        <f>VLOOKUP(B208,FanduelExcelSub!$B$1:$C$434,2, FALSE)</f>
        <v>3700</v>
      </c>
      <c r="E208" s="40">
        <f>VLOOKUP(B208,MaxData!$A$1:$B$373, 2,FALSE)</f>
        <v>22.4</v>
      </c>
      <c r="F208" s="40">
        <f>VLOOKUP(B208,FanduelExcelSub!$B$1:$D$434,3, FALSE)</f>
        <v>0</v>
      </c>
    </row>
    <row r="209" spans="1:6" x14ac:dyDescent="0.25">
      <c r="A209" s="40" t="str">
        <f>FanduelExcel!B155</f>
        <v>C</v>
      </c>
      <c r="B209" s="40" t="str">
        <f>FanduelExcel!C155&amp;" "&amp;FanduelExcel!E155</f>
        <v>Al Jefferson</v>
      </c>
      <c r="C209">
        <v>21.9</v>
      </c>
      <c r="D209" s="40">
        <f>VLOOKUP(B209,FanduelExcelSub!$B$1:$C$434,2, FALSE)</f>
        <v>3600</v>
      </c>
      <c r="E209" s="40">
        <f>VLOOKUP(B209,MaxData!$A$1:$B$373, 2,FALSE)</f>
        <v>21.9</v>
      </c>
      <c r="F209" s="40">
        <f>VLOOKUP(B209,FanduelExcelSub!$B$1:$D$434,3, FALSE)</f>
        <v>0</v>
      </c>
    </row>
    <row r="210" spans="1:6" x14ac:dyDescent="0.25">
      <c r="A210" s="40" t="str">
        <f>FanduelExcel!B217</f>
        <v>C</v>
      </c>
      <c r="B210" s="40" t="str">
        <f>FanduelExcel!C217&amp;" "&amp;FanduelExcel!E217</f>
        <v>Marshall Plumlee</v>
      </c>
      <c r="C210">
        <v>0</v>
      </c>
      <c r="D210" s="40">
        <f>VLOOKUP(B210,FanduelExcelSub!$B$1:$C$434,2, FALSE)</f>
        <v>3500</v>
      </c>
      <c r="E210" s="40" t="e">
        <f>VLOOKUP(B210,MaxData!$A$1:$B$373, 2,FALSE)</f>
        <v>#N/A</v>
      </c>
      <c r="F210" s="40">
        <f>VLOOKUP(B210,FanduelExcelSub!$B$1:$D$434,3, FALSE)</f>
        <v>0</v>
      </c>
    </row>
    <row r="211" spans="1:6" x14ac:dyDescent="0.25">
      <c r="A211" s="40" t="str">
        <f>FanduelExcel!B164</f>
        <v>SF</v>
      </c>
      <c r="B211" s="40" t="str">
        <f>FanduelExcel!C164&amp;" "&amp;FanduelExcel!E164</f>
        <v>Taurean Prince</v>
      </c>
      <c r="C211">
        <v>17</v>
      </c>
      <c r="D211" s="40">
        <f>VLOOKUP(B211,FanduelExcelSub!$B$1:$C$434,2, FALSE)</f>
        <v>3500</v>
      </c>
      <c r="E211" s="40">
        <f>VLOOKUP(B211,MaxData!$A$1:$B$373, 2,FALSE)</f>
        <v>17</v>
      </c>
      <c r="F211" s="40">
        <f>VLOOKUP(B211,FanduelExcelSub!$B$1:$D$434,3, FALSE)</f>
        <v>0</v>
      </c>
    </row>
    <row r="212" spans="1:6" x14ac:dyDescent="0.25">
      <c r="A212" s="40" t="str">
        <f>FanduelExcel!B219</f>
        <v>SF</v>
      </c>
      <c r="B212" s="40" t="str">
        <f>FanduelExcel!C219&amp;" "&amp;FanduelExcel!E219</f>
        <v>Glenn Robinson III</v>
      </c>
      <c r="C212">
        <v>29.2</v>
      </c>
      <c r="D212" s="40">
        <f>VLOOKUP(B212,FanduelExcelSub!$B$1:$C$434,2, FALSE)</f>
        <v>3500</v>
      </c>
      <c r="E212" s="40">
        <f>VLOOKUP(B212,MaxData!$A$1:$B$373, 2,FALSE)</f>
        <v>29.2</v>
      </c>
      <c r="F212" s="40">
        <f>VLOOKUP(B212,FanduelExcelSub!$B$1:$D$434,3, FALSE)</f>
        <v>0</v>
      </c>
    </row>
    <row r="213" spans="1:6" x14ac:dyDescent="0.25">
      <c r="A213" s="40" t="str">
        <f>FanduelExcel!B334</f>
        <v>C</v>
      </c>
      <c r="B213" s="40" t="str">
        <f>FanduelExcel!C334&amp;" "&amp;FanduelExcel!E334</f>
        <v>Al Jefferson</v>
      </c>
      <c r="C213">
        <v>21.9</v>
      </c>
      <c r="D213" s="40">
        <f>VLOOKUP(B213,FanduelExcelSub!$B$1:$C$434,2, FALSE)</f>
        <v>3600</v>
      </c>
      <c r="E213" s="40">
        <f>VLOOKUP(B213,MaxData!$A$1:$B$373, 2,FALSE)</f>
        <v>21.9</v>
      </c>
      <c r="F213" s="40">
        <f>VLOOKUP(B213,FanduelExcelSub!$B$1:$D$434,3, FALSE)</f>
        <v>0</v>
      </c>
    </row>
    <row r="214" spans="1:6" x14ac:dyDescent="0.25">
      <c r="A214" s="40" t="str">
        <f>FanduelExcel!B345</f>
        <v>SG</v>
      </c>
      <c r="B214" s="40" t="str">
        <f>FanduelExcel!C345&amp;" "&amp;FanduelExcel!E345</f>
        <v>Leandro Barbosa</v>
      </c>
      <c r="C214">
        <v>21.4</v>
      </c>
      <c r="D214" s="40">
        <f>VLOOKUP(B214,FanduelExcelSub!$B$1:$C$434,2, FALSE)</f>
        <v>3500</v>
      </c>
      <c r="E214" s="40">
        <f>VLOOKUP(B214,MaxData!$A$1:$B$373, 2,FALSE)</f>
        <v>21.4</v>
      </c>
      <c r="F214" s="40">
        <f>VLOOKUP(B214,FanduelExcelSub!$B$1:$D$434,3, FALSE)</f>
        <v>0</v>
      </c>
    </row>
    <row r="215" spans="1:6" x14ac:dyDescent="0.25">
      <c r="A215" s="40" t="str">
        <f>FanduelExcel!B239</f>
        <v>SG</v>
      </c>
      <c r="B215" s="40" t="str">
        <f>FanduelExcel!C239&amp;" "&amp;FanduelExcel!E239</f>
        <v>Langston Galloway</v>
      </c>
      <c r="C215">
        <v>16.8</v>
      </c>
      <c r="D215" s="40">
        <f>VLOOKUP(B215,FanduelExcelSub!$B$1:$C$434,2, FALSE)</f>
        <v>3500</v>
      </c>
      <c r="E215" s="40">
        <f>VLOOKUP(B215,MaxData!$A$1:$B$373, 2,FALSE)</f>
        <v>16.8</v>
      </c>
      <c r="F215" s="40">
        <f>VLOOKUP(B215,FanduelExcelSub!$B$1:$D$434,3, FALSE)</f>
        <v>0</v>
      </c>
    </row>
    <row r="216" spans="1:6" x14ac:dyDescent="0.25">
      <c r="A216" s="40" t="str">
        <f>FanduelExcel!B243</f>
        <v>SG</v>
      </c>
      <c r="B216" s="40" t="str">
        <f>FanduelExcel!C243&amp;" "&amp;FanduelExcel!E243</f>
        <v>Ian Clark</v>
      </c>
      <c r="C216">
        <v>22.7</v>
      </c>
      <c r="D216" s="40">
        <f>VLOOKUP(B216,FanduelExcelSub!$B$1:$C$434,2, FALSE)</f>
        <v>3500</v>
      </c>
      <c r="E216" s="40">
        <f>VLOOKUP(B216,MaxData!$A$1:$B$373, 2,FALSE)</f>
        <v>22.7</v>
      </c>
      <c r="F216" s="40">
        <f>VLOOKUP(B216,FanduelExcelSub!$B$1:$D$434,3, FALSE)</f>
        <v>0</v>
      </c>
    </row>
    <row r="217" spans="1:6" x14ac:dyDescent="0.25">
      <c r="A217" s="40" t="str">
        <f>FanduelExcel!B343</f>
        <v>PG</v>
      </c>
      <c r="B217" s="40" t="str">
        <f>FanduelExcel!C343&amp;" "&amp;FanduelExcel!E343</f>
        <v>Cameron Payne</v>
      </c>
      <c r="C217">
        <v>21.2</v>
      </c>
      <c r="D217" s="40">
        <f>VLOOKUP(B217,FanduelExcelSub!$B$1:$C$434,2, FALSE)</f>
        <v>3500</v>
      </c>
      <c r="E217" s="40">
        <f>VLOOKUP(B217,MaxData!$A$1:$B$373, 2,FALSE)</f>
        <v>21.2</v>
      </c>
      <c r="F217" s="40">
        <f>VLOOKUP(B217,FanduelExcelSub!$B$1:$D$434,3, FALSE)</f>
        <v>0</v>
      </c>
    </row>
    <row r="218" spans="1:6" x14ac:dyDescent="0.25">
      <c r="A218" s="40" t="str">
        <f>FanduelExcel!B407</f>
        <v>PG</v>
      </c>
      <c r="B218" s="40" t="str">
        <f>FanduelExcel!C407&amp;" "&amp;FanduelExcel!E407</f>
        <v>Delon Wright</v>
      </c>
      <c r="C218">
        <v>21.2</v>
      </c>
      <c r="D218" s="40">
        <f>VLOOKUP(B218,FanduelExcelSub!$B$1:$C$434,2, FALSE)</f>
        <v>3500</v>
      </c>
      <c r="E218" s="40">
        <f>VLOOKUP(B218,MaxData!$A$1:$B$373, 2,FALSE)</f>
        <v>21.2</v>
      </c>
      <c r="F218" s="40">
        <f>VLOOKUP(B218,FanduelExcelSub!$B$1:$D$434,3, FALSE)</f>
        <v>0</v>
      </c>
    </row>
    <row r="219" spans="1:6" x14ac:dyDescent="0.25">
      <c r="A219" s="40" t="str">
        <f>FanduelExcel!B240</f>
        <v>SF</v>
      </c>
      <c r="B219" s="40" t="str">
        <f>FanduelExcel!C240&amp;" "&amp;FanduelExcel!E240</f>
        <v>Doug McDermott</v>
      </c>
      <c r="C219">
        <v>27.5</v>
      </c>
      <c r="D219" s="40">
        <f>VLOOKUP(B219,FanduelExcelSub!$B$1:$C$434,2, FALSE)</f>
        <v>3500</v>
      </c>
      <c r="E219" s="40">
        <f>VLOOKUP(B219,MaxData!$A$1:$B$373, 2,FALSE)</f>
        <v>27.5</v>
      </c>
      <c r="F219" s="40">
        <f>VLOOKUP(B219,FanduelExcelSub!$B$1:$D$434,3, FALSE)</f>
        <v>0</v>
      </c>
    </row>
    <row r="220" spans="1:6" x14ac:dyDescent="0.25">
      <c r="A220" s="40" t="str">
        <f>FanduelExcel!B212</f>
        <v>SF</v>
      </c>
      <c r="B220" s="40" t="str">
        <f>FanduelExcel!C212&amp;" "&amp;FanduelExcel!E212</f>
        <v>Dante Cunningham</v>
      </c>
      <c r="C220">
        <v>23.2</v>
      </c>
      <c r="D220" s="40">
        <f>VLOOKUP(B220,FanduelExcelSub!$B$1:$C$434,2, FALSE)</f>
        <v>3500</v>
      </c>
      <c r="E220" s="40">
        <f>VLOOKUP(B220,MaxData!$A$1:$B$373, 2,FALSE)</f>
        <v>23.2</v>
      </c>
      <c r="F220" s="40">
        <f>VLOOKUP(B220,FanduelExcelSub!$B$1:$D$434,3, FALSE)</f>
        <v>0</v>
      </c>
    </row>
    <row r="221" spans="1:6" x14ac:dyDescent="0.25">
      <c r="A221" s="40" t="str">
        <f>FanduelExcel!B189</f>
        <v>C</v>
      </c>
      <c r="B221" s="40" t="str">
        <f>FanduelExcel!C189&amp;" "&amp;FanduelExcel!E189</f>
        <v>Timofey Mozgov</v>
      </c>
      <c r="C221">
        <v>11.7</v>
      </c>
      <c r="D221" s="40">
        <f>VLOOKUP(B221,FanduelExcelSub!$B$1:$C$434,2, FALSE)</f>
        <v>3500</v>
      </c>
      <c r="E221" s="40">
        <f>VLOOKUP(B221,MaxData!$A$1:$B$373, 2,FALSE)</f>
        <v>11.7</v>
      </c>
      <c r="F221" s="40">
        <f>VLOOKUP(B221,FanduelExcelSub!$B$1:$D$434,3, FALSE)</f>
        <v>0</v>
      </c>
    </row>
    <row r="222" spans="1:6" x14ac:dyDescent="0.25">
      <c r="A222" s="40" t="str">
        <f>FanduelExcel!B167</f>
        <v>C</v>
      </c>
      <c r="B222" s="40" t="str">
        <f>FanduelExcel!C167&amp;" "&amp;FanduelExcel!E167</f>
        <v>Joel Anthony</v>
      </c>
      <c r="C222">
        <v>0</v>
      </c>
      <c r="D222" s="40">
        <f>VLOOKUP(B222,FanduelExcelSub!$B$1:$C$434,2, FALSE)</f>
        <v>3500</v>
      </c>
      <c r="E222" s="40" t="e">
        <f>VLOOKUP(B222,MaxData!$A$1:$B$373, 2,FALSE)</f>
        <v>#N/A</v>
      </c>
      <c r="F222" s="40">
        <f>VLOOKUP(B222,FanduelExcelSub!$B$1:$D$434,3, FALSE)</f>
        <v>0</v>
      </c>
    </row>
    <row r="223" spans="1:6" x14ac:dyDescent="0.25">
      <c r="A223" s="40" t="str">
        <f>FanduelExcel!B271</f>
        <v>PF</v>
      </c>
      <c r="B223" s="40" t="str">
        <f>FanduelExcel!C271&amp;" "&amp;FanduelExcel!E271</f>
        <v>Adreian Payne</v>
      </c>
      <c r="C223">
        <v>0</v>
      </c>
      <c r="D223" s="40">
        <f>VLOOKUP(B223,FanduelExcelSub!$B$1:$C$434,2, FALSE)</f>
        <v>3500</v>
      </c>
      <c r="E223" s="40" t="e">
        <f>VLOOKUP(B223,MaxData!$A$1:$B$373, 2,FALSE)</f>
        <v>#N/A</v>
      </c>
      <c r="F223" s="40" t="str">
        <f>VLOOKUP(B223,FanduelExcelSub!$B$1:$D$434,3, FALSE)</f>
        <v>O</v>
      </c>
    </row>
    <row r="224" spans="1:6" x14ac:dyDescent="0.25">
      <c r="A224" s="40" t="str">
        <f>FanduelExcel!B281</f>
        <v>PF</v>
      </c>
      <c r="B224" s="40" t="str">
        <f>FanduelExcel!C281&amp;" "&amp;FanduelExcel!E281</f>
        <v>Donatas Motiejunas</v>
      </c>
      <c r="C224">
        <v>20.6</v>
      </c>
      <c r="D224" s="40">
        <f>VLOOKUP(B224,FanduelExcelSub!$B$1:$C$434,2, FALSE)</f>
        <v>3500</v>
      </c>
      <c r="E224" s="40">
        <f>VLOOKUP(B224,MaxData!$A$1:$B$373, 2,FALSE)</f>
        <v>20.6</v>
      </c>
      <c r="F224" s="40">
        <f>VLOOKUP(B224,FanduelExcelSub!$B$1:$D$434,3, FALSE)</f>
        <v>0</v>
      </c>
    </row>
    <row r="225" spans="1:6" x14ac:dyDescent="0.25">
      <c r="A225" s="40" t="str">
        <f>FanduelExcel!B303</f>
        <v>PG</v>
      </c>
      <c r="B225" s="40" t="str">
        <f>FanduelExcel!C303&amp;" "&amp;FanduelExcel!E303</f>
        <v>Kris Dunn</v>
      </c>
      <c r="C225">
        <v>20.3</v>
      </c>
      <c r="D225" s="40">
        <f>VLOOKUP(B225,FanduelExcelSub!$B$1:$C$434,2, FALSE)</f>
        <v>3800</v>
      </c>
      <c r="E225" s="40">
        <f>VLOOKUP(B225,MaxData!$A$1:$B$373, 2,FALSE)</f>
        <v>20.3</v>
      </c>
      <c r="F225" s="40" t="str">
        <f>VLOOKUP(B225,FanduelExcelSub!$B$1:$D$434,3, FALSE)</f>
        <v>GTD</v>
      </c>
    </row>
    <row r="226" spans="1:6" x14ac:dyDescent="0.25">
      <c r="A226" s="40" t="str">
        <f>FanduelExcel!B234</f>
        <v>PF</v>
      </c>
      <c r="B226" s="40" t="str">
        <f>FanduelExcel!C234&amp;" "&amp;FanduelExcel!E234</f>
        <v>Andrew Nicholson</v>
      </c>
      <c r="C226">
        <v>0</v>
      </c>
      <c r="D226" s="40">
        <f>VLOOKUP(B226,FanduelExcelSub!$B$1:$C$434,2, FALSE)</f>
        <v>3500</v>
      </c>
      <c r="E226" s="40" t="e">
        <f>VLOOKUP(B226,MaxData!$A$1:$B$373, 2,FALSE)</f>
        <v>#N/A</v>
      </c>
      <c r="F226" s="40">
        <f>VLOOKUP(B226,FanduelExcelSub!$B$1:$D$434,3, FALSE)</f>
        <v>0</v>
      </c>
    </row>
    <row r="227" spans="1:6" x14ac:dyDescent="0.25">
      <c r="A227" s="40" t="str">
        <f>FanduelExcel!B165</f>
        <v>PF</v>
      </c>
      <c r="B227" s="40" t="str">
        <f>FanduelExcel!C165&amp;" "&amp;FanduelExcel!E165</f>
        <v>Jordan Hill</v>
      </c>
      <c r="C227">
        <v>0</v>
      </c>
      <c r="D227" s="40">
        <f>VLOOKUP(B227,FanduelExcelSub!$B$1:$C$434,2, FALSE)</f>
        <v>3500</v>
      </c>
      <c r="E227" s="40" t="e">
        <f>VLOOKUP(B227,MaxData!$A$1:$B$373, 2,FALSE)</f>
        <v>#N/A</v>
      </c>
      <c r="F227" s="40">
        <f>VLOOKUP(B227,FanduelExcelSub!$B$1:$D$434,3, FALSE)</f>
        <v>0</v>
      </c>
    </row>
    <row r="228" spans="1:6" x14ac:dyDescent="0.25">
      <c r="A228" s="40" t="str">
        <f>FanduelExcel!B284</f>
        <v>PG</v>
      </c>
      <c r="B228" s="40" t="str">
        <f>FanduelExcel!C284&amp;" "&amp;FanduelExcel!E284</f>
        <v>Cory Joseph</v>
      </c>
      <c r="C228">
        <v>19.8</v>
      </c>
      <c r="D228" s="40">
        <f>VLOOKUP(B228,FanduelExcelSub!$B$1:$C$434,2, FALSE)</f>
        <v>3500</v>
      </c>
      <c r="E228" s="40">
        <f>VLOOKUP(B228,MaxData!$A$1:$B$373, 2,FALSE)</f>
        <v>19.8</v>
      </c>
      <c r="F228" s="40">
        <f>VLOOKUP(B228,FanduelExcelSub!$B$1:$D$434,3, FALSE)</f>
        <v>0</v>
      </c>
    </row>
    <row r="229" spans="1:6" x14ac:dyDescent="0.25">
      <c r="A229" s="40" t="str">
        <f>FanduelExcel!B340</f>
        <v>SF</v>
      </c>
      <c r="B229" s="40" t="str">
        <f>FanduelExcel!C340&amp;" "&amp;FanduelExcel!E340</f>
        <v>Jeff Green</v>
      </c>
      <c r="C229">
        <v>19.600000000000001</v>
      </c>
      <c r="D229" s="40">
        <f>VLOOKUP(B229,FanduelExcelSub!$B$1:$C$434,2, FALSE)</f>
        <v>3500</v>
      </c>
      <c r="E229" s="40">
        <f>VLOOKUP(B229,MaxData!$A$1:$B$373, 2,FALSE)</f>
        <v>19.600000000000001</v>
      </c>
      <c r="F229" s="40">
        <f>VLOOKUP(B229,FanduelExcelSub!$B$1:$D$434,3, FALSE)</f>
        <v>0</v>
      </c>
    </row>
    <row r="230" spans="1:6" x14ac:dyDescent="0.25">
      <c r="A230" s="40" t="str">
        <f>FanduelExcel!B387</f>
        <v>PG</v>
      </c>
      <c r="B230" s="40" t="str">
        <f>FanduelExcel!C387&amp;" "&amp;FanduelExcel!E387</f>
        <v>Tim Frazier</v>
      </c>
      <c r="C230">
        <v>19.600000000000001</v>
      </c>
      <c r="D230" s="40">
        <f>VLOOKUP(B230,FanduelExcelSub!$B$1:$C$434,2, FALSE)</f>
        <v>3600</v>
      </c>
      <c r="E230" s="40">
        <f>VLOOKUP(B230,MaxData!$A$1:$B$373, 2,FALSE)</f>
        <v>19.600000000000001</v>
      </c>
      <c r="F230" s="40">
        <f>VLOOKUP(B230,FanduelExcelSub!$B$1:$D$434,3, FALSE)</f>
        <v>0</v>
      </c>
    </row>
    <row r="231" spans="1:6" x14ac:dyDescent="0.25">
      <c r="A231" s="40" t="str">
        <f>FanduelExcel!B274</f>
        <v>SF</v>
      </c>
      <c r="B231" s="40" t="str">
        <f>FanduelExcel!C274&amp;" "&amp;FanduelExcel!E274</f>
        <v>Kyle Anderson</v>
      </c>
      <c r="C231">
        <v>19.5</v>
      </c>
      <c r="D231" s="40">
        <f>VLOOKUP(B231,FanduelExcelSub!$B$1:$C$434,2, FALSE)</f>
        <v>3500</v>
      </c>
      <c r="E231" s="40">
        <f>VLOOKUP(B231,MaxData!$A$1:$B$373, 2,FALSE)</f>
        <v>19.5</v>
      </c>
      <c r="F231" s="40">
        <f>VLOOKUP(B231,FanduelExcelSub!$B$1:$D$434,3, FALSE)</f>
        <v>0</v>
      </c>
    </row>
    <row r="232" spans="1:6" x14ac:dyDescent="0.25">
      <c r="A232" s="40" t="str">
        <f>FanduelExcel!B350</f>
        <v>SG</v>
      </c>
      <c r="B232" s="40" t="str">
        <f>FanduelExcel!C350&amp;" "&amp;FanduelExcel!E350</f>
        <v>Manu Ginobili</v>
      </c>
      <c r="C232">
        <v>19.2</v>
      </c>
      <c r="D232" s="40">
        <f>VLOOKUP(B232,FanduelExcelSub!$B$1:$C$434,2, FALSE)</f>
        <v>3500</v>
      </c>
      <c r="E232" s="40">
        <f>VLOOKUP(B232,MaxData!$A$1:$B$373, 2,FALSE)</f>
        <v>19.2</v>
      </c>
      <c r="F232" s="40">
        <f>VLOOKUP(B232,FanduelExcelSub!$B$1:$D$434,3, FALSE)</f>
        <v>0</v>
      </c>
    </row>
    <row r="233" spans="1:6" x14ac:dyDescent="0.25">
      <c r="A233" s="40" t="str">
        <f>FanduelExcel!B393</f>
        <v>PG</v>
      </c>
      <c r="B233" s="40" t="str">
        <f>FanduelExcel!C393&amp;" "&amp;FanduelExcel!E393</f>
        <v>Sergio Rodriguez</v>
      </c>
      <c r="C233">
        <v>19.100000000000001</v>
      </c>
      <c r="D233" s="40">
        <f>VLOOKUP(B233,FanduelExcelSub!$B$1:$C$434,2, FALSE)</f>
        <v>3500</v>
      </c>
      <c r="E233" s="40">
        <f>VLOOKUP(B233,MaxData!$A$1:$B$373, 2,FALSE)</f>
        <v>19.100000000000001</v>
      </c>
      <c r="F233" s="40">
        <f>VLOOKUP(B233,FanduelExcelSub!$B$1:$D$434,3, FALSE)</f>
        <v>0</v>
      </c>
    </row>
    <row r="234" spans="1:6" x14ac:dyDescent="0.25">
      <c r="A234" s="40" t="str">
        <f>FanduelExcel!B333</f>
        <v>SF</v>
      </c>
      <c r="B234" s="40" t="str">
        <f>FanduelExcel!C333&amp;" "&amp;FanduelExcel!E333</f>
        <v>Corey Brewer</v>
      </c>
      <c r="C234">
        <v>18.8</v>
      </c>
      <c r="D234" s="40">
        <f>VLOOKUP(B234,FanduelExcelSub!$B$1:$C$434,2, FALSE)</f>
        <v>3500</v>
      </c>
      <c r="E234" s="40">
        <f>VLOOKUP(B234,MaxData!$A$1:$B$373, 2,FALSE)</f>
        <v>18.8</v>
      </c>
      <c r="F234" s="40">
        <f>VLOOKUP(B234,FanduelExcelSub!$B$1:$D$434,3, FALSE)</f>
        <v>0</v>
      </c>
    </row>
    <row r="235" spans="1:6" x14ac:dyDescent="0.25">
      <c r="A235" s="40" t="str">
        <f>FanduelExcel!B313</f>
        <v>SG</v>
      </c>
      <c r="B235" s="40" t="str">
        <f>FanduelExcel!C313&amp;" "&amp;FanduelExcel!E313</f>
        <v>Arron Afflalo</v>
      </c>
      <c r="C235">
        <v>18.2</v>
      </c>
      <c r="D235" s="40">
        <f>VLOOKUP(B235,FanduelExcelSub!$B$1:$C$434,2, FALSE)</f>
        <v>3500</v>
      </c>
      <c r="E235" s="40">
        <f>VLOOKUP(B235,MaxData!$A$1:$B$373, 2,FALSE)</f>
        <v>18.2</v>
      </c>
      <c r="F235" s="40">
        <f>VLOOKUP(B235,FanduelExcelSub!$B$1:$D$434,3, FALSE)</f>
        <v>0</v>
      </c>
    </row>
    <row r="236" spans="1:6" x14ac:dyDescent="0.25">
      <c r="A236" s="40" t="str">
        <f>FanduelExcel!B302</f>
        <v>PG</v>
      </c>
      <c r="B236" s="40" t="str">
        <f>FanduelExcel!C302&amp;" "&amp;FanduelExcel!E302</f>
        <v>D.J. Augustin</v>
      </c>
      <c r="C236">
        <v>18.100000000000001</v>
      </c>
      <c r="D236" s="40">
        <f>VLOOKUP(B236,FanduelExcelSub!$B$1:$C$434,2, FALSE)</f>
        <v>3500</v>
      </c>
      <c r="E236" s="40">
        <f>VLOOKUP(B236,MaxData!$A$1:$B$373, 2,FALSE)</f>
        <v>18.100000000000001</v>
      </c>
      <c r="F236" s="40">
        <f>VLOOKUP(B236,FanduelExcelSub!$B$1:$D$434,3, FALSE)</f>
        <v>0</v>
      </c>
    </row>
    <row r="237" spans="1:6" x14ac:dyDescent="0.25">
      <c r="A237" s="40" t="str">
        <f>FanduelExcel!B362</f>
        <v>SF</v>
      </c>
      <c r="B237" s="40" t="str">
        <f>FanduelExcel!C362&amp;" "&amp;FanduelExcel!E362</f>
        <v>Luc Richard Mbah a Moute</v>
      </c>
      <c r="C237">
        <v>18</v>
      </c>
      <c r="D237" s="40">
        <f>VLOOKUP(B237,FanduelExcelSub!$B$1:$C$434,2, FALSE)</f>
        <v>3500</v>
      </c>
      <c r="E237" s="40">
        <f>VLOOKUP(B237,MaxData!$A$1:$B$373, 2,FALSE)</f>
        <v>18</v>
      </c>
      <c r="F237" s="40">
        <f>VLOOKUP(B237,FanduelExcelSub!$B$1:$D$434,3, FALSE)</f>
        <v>0</v>
      </c>
    </row>
    <row r="238" spans="1:6" x14ac:dyDescent="0.25">
      <c r="A238" s="40" t="str">
        <f>FanduelExcel!B318</f>
        <v>SG</v>
      </c>
      <c r="B238" s="40" t="str">
        <f>FanduelExcel!C318&amp;" "&amp;FanduelExcel!E318</f>
        <v>Troy Daniels</v>
      </c>
      <c r="C238">
        <v>17.600000000000001</v>
      </c>
      <c r="D238" s="40">
        <f>VLOOKUP(B238,FanduelExcelSub!$B$1:$C$434,2, FALSE)</f>
        <v>3500</v>
      </c>
      <c r="E238" s="40">
        <f>VLOOKUP(B238,MaxData!$A$1:$B$373, 2,FALSE)</f>
        <v>17.600000000000001</v>
      </c>
      <c r="F238" s="40">
        <f>VLOOKUP(B238,FanduelExcelSub!$B$1:$D$434,3, FALSE)</f>
        <v>0</v>
      </c>
    </row>
    <row r="239" spans="1:6" x14ac:dyDescent="0.25">
      <c r="A239" s="40" t="str">
        <f>FanduelExcel!B383</f>
        <v>SF</v>
      </c>
      <c r="B239" s="40" t="str">
        <f>FanduelExcel!C383&amp;" "&amp;FanduelExcel!E383</f>
        <v>James Young</v>
      </c>
      <c r="C239">
        <v>17.600000000000001</v>
      </c>
      <c r="D239" s="40">
        <f>VLOOKUP(B239,FanduelExcelSub!$B$1:$C$434,2, FALSE)</f>
        <v>3500</v>
      </c>
      <c r="E239" s="40">
        <f>VLOOKUP(B239,MaxData!$A$1:$B$373, 2,FALSE)</f>
        <v>17.600000000000001</v>
      </c>
      <c r="F239" s="40">
        <f>VLOOKUP(B239,FanduelExcelSub!$B$1:$D$434,3, FALSE)</f>
        <v>0</v>
      </c>
    </row>
    <row r="240" spans="1:6" x14ac:dyDescent="0.25">
      <c r="A240" s="40" t="str">
        <f>FanduelExcel!B310</f>
        <v>PG</v>
      </c>
      <c r="B240" s="40" t="str">
        <f>FanduelExcel!C310&amp;" "&amp;FanduelExcel!E310</f>
        <v>Jason Terry</v>
      </c>
      <c r="C240">
        <v>17.2</v>
      </c>
      <c r="D240" s="40">
        <f>VLOOKUP(B240,FanduelExcelSub!$B$1:$C$434,2, FALSE)</f>
        <v>3500</v>
      </c>
      <c r="E240" s="40">
        <f>VLOOKUP(B240,MaxData!$A$1:$B$373, 2,FALSE)</f>
        <v>17.2</v>
      </c>
      <c r="F240" s="40">
        <f>VLOOKUP(B240,FanduelExcelSub!$B$1:$D$434,3, FALSE)</f>
        <v>0</v>
      </c>
    </row>
    <row r="241" spans="1:6" x14ac:dyDescent="0.25">
      <c r="A241" s="40" t="str">
        <f>FanduelExcel!B314</f>
        <v>PF</v>
      </c>
      <c r="B241" s="40" t="str">
        <f>FanduelExcel!C314&amp;" "&amp;FanduelExcel!E314</f>
        <v>Meyers Leonard</v>
      </c>
      <c r="C241">
        <v>17.2</v>
      </c>
      <c r="D241" s="40">
        <f>VLOOKUP(B241,FanduelExcelSub!$B$1:$C$434,2, FALSE)</f>
        <v>3500</v>
      </c>
      <c r="E241" s="40">
        <f>VLOOKUP(B241,MaxData!$A$1:$B$373, 2,FALSE)</f>
        <v>17.2</v>
      </c>
      <c r="F241" s="40">
        <f>VLOOKUP(B241,FanduelExcelSub!$B$1:$D$434,3, FALSE)</f>
        <v>0</v>
      </c>
    </row>
    <row r="242" spans="1:6" x14ac:dyDescent="0.25">
      <c r="A242" s="40" t="str">
        <f>FanduelExcel!B321</f>
        <v>SF</v>
      </c>
      <c r="B242" s="40" t="str">
        <f>FanduelExcel!C321&amp;" "&amp;FanduelExcel!E321</f>
        <v>Mike Dunleavy</v>
      </c>
      <c r="C242">
        <v>17.2</v>
      </c>
      <c r="D242" s="40">
        <f>VLOOKUP(B242,FanduelExcelSub!$B$1:$C$434,2, FALSE)</f>
        <v>3500</v>
      </c>
      <c r="E242" s="40">
        <f>VLOOKUP(B242,MaxData!$A$1:$B$373, 2,FALSE)</f>
        <v>17.2</v>
      </c>
      <c r="F242" s="40">
        <f>VLOOKUP(B242,FanduelExcelSub!$B$1:$D$434,3, FALSE)</f>
        <v>0</v>
      </c>
    </row>
    <row r="243" spans="1:6" x14ac:dyDescent="0.25">
      <c r="A243" s="40" t="str">
        <f>FanduelExcel!B172</f>
        <v>C</v>
      </c>
      <c r="B243" s="40" t="str">
        <f>FanduelExcel!C172&amp;" "&amp;FanduelExcel!E172</f>
        <v>Cole Aldrich</v>
      </c>
      <c r="C243">
        <v>0</v>
      </c>
      <c r="D243" s="40">
        <f>VLOOKUP(B243,FanduelExcelSub!$B$1:$C$434,2, FALSE)</f>
        <v>3500</v>
      </c>
      <c r="E243" s="40" t="e">
        <f>VLOOKUP(B243,MaxData!$A$1:$B$373, 2,FALSE)</f>
        <v>#N/A</v>
      </c>
      <c r="F243" s="40">
        <f>VLOOKUP(B243,FanduelExcelSub!$B$1:$D$434,3, FALSE)</f>
        <v>0</v>
      </c>
    </row>
    <row r="244" spans="1:6" x14ac:dyDescent="0.25">
      <c r="A244" s="40" t="str">
        <f>FanduelExcel!B245</f>
        <v>SF</v>
      </c>
      <c r="B244" s="40" t="str">
        <f>FanduelExcel!C245&amp;" "&amp;FanduelExcel!E245</f>
        <v>Metta World Peace</v>
      </c>
      <c r="C244">
        <v>0</v>
      </c>
      <c r="D244" s="40">
        <f>VLOOKUP(B244,FanduelExcelSub!$B$1:$C$434,2, FALSE)</f>
        <v>3500</v>
      </c>
      <c r="E244" s="40" t="e">
        <f>VLOOKUP(B244,MaxData!$A$1:$B$373, 2,FALSE)</f>
        <v>#N/A</v>
      </c>
      <c r="F244" s="40">
        <f>VLOOKUP(B244,FanduelExcelSub!$B$1:$D$434,3, FALSE)</f>
        <v>0</v>
      </c>
    </row>
    <row r="245" spans="1:6" x14ac:dyDescent="0.25">
      <c r="A245" s="40" t="str">
        <f>FanduelExcel!B292</f>
        <v>PF</v>
      </c>
      <c r="B245" s="40" t="str">
        <f>FanduelExcel!C292&amp;" "&amp;FanduelExcel!E292</f>
        <v>Kevon Looney</v>
      </c>
      <c r="C245">
        <v>16.899999999999999</v>
      </c>
      <c r="D245" s="40">
        <f>VLOOKUP(B245,FanduelExcelSub!$B$1:$C$434,2, FALSE)</f>
        <v>3500</v>
      </c>
      <c r="E245" s="40">
        <f>VLOOKUP(B245,MaxData!$A$1:$B$373, 2,FALSE)</f>
        <v>16.899999999999999</v>
      </c>
      <c r="F245" s="40">
        <f>VLOOKUP(B245,FanduelExcelSub!$B$1:$D$434,3, FALSE)</f>
        <v>0</v>
      </c>
    </row>
    <row r="246" spans="1:6" x14ac:dyDescent="0.25">
      <c r="A246" s="40" t="str">
        <f>FanduelExcel!B404</f>
        <v>SG</v>
      </c>
      <c r="B246" s="40" t="str">
        <f>FanduelExcel!C404&amp;" "&amp;FanduelExcel!E404</f>
        <v>Langston Galloway</v>
      </c>
      <c r="C246">
        <v>16.8</v>
      </c>
      <c r="D246" s="40">
        <f>VLOOKUP(B246,FanduelExcelSub!$B$1:$C$434,2, FALSE)</f>
        <v>3500</v>
      </c>
      <c r="E246" s="40">
        <f>VLOOKUP(B246,MaxData!$A$1:$B$373, 2,FALSE)</f>
        <v>16.8</v>
      </c>
      <c r="F246" s="40">
        <f>VLOOKUP(B246,FanduelExcelSub!$B$1:$D$434,3, FALSE)</f>
        <v>0</v>
      </c>
    </row>
    <row r="247" spans="1:6" x14ac:dyDescent="0.25">
      <c r="A247" s="40" t="str">
        <f>FanduelExcel!B201</f>
        <v>SF</v>
      </c>
      <c r="B247" s="40" t="str">
        <f>FanduelExcel!C201&amp;" "&amp;FanduelExcel!E201</f>
        <v>Mindaugas Kuzminskas</v>
      </c>
      <c r="C247">
        <v>0</v>
      </c>
      <c r="D247" s="40">
        <f>VLOOKUP(B247,FanduelExcelSub!$B$1:$C$434,2, FALSE)</f>
        <v>3500</v>
      </c>
      <c r="E247" s="40" t="e">
        <f>VLOOKUP(B247,MaxData!$A$1:$B$373, 2,FALSE)</f>
        <v>#N/A</v>
      </c>
      <c r="F247" s="40">
        <f>VLOOKUP(B247,FanduelExcelSub!$B$1:$D$434,3, FALSE)</f>
        <v>0</v>
      </c>
    </row>
    <row r="248" spans="1:6" x14ac:dyDescent="0.25">
      <c r="A248" s="40" t="str">
        <f>FanduelExcel!B396</f>
        <v>PG</v>
      </c>
      <c r="B248" s="40" t="str">
        <f>FanduelExcel!C396&amp;" "&amp;FanduelExcel!E396</f>
        <v>Malcolm Delaney</v>
      </c>
      <c r="C248">
        <v>16</v>
      </c>
      <c r="D248" s="40">
        <f>VLOOKUP(B248,FanduelExcelSub!$B$1:$C$434,2, FALSE)</f>
        <v>3500</v>
      </c>
      <c r="E248" s="40">
        <f>VLOOKUP(B248,MaxData!$A$1:$B$373, 2,FALSE)</f>
        <v>16</v>
      </c>
      <c r="F248" s="40">
        <f>VLOOKUP(B248,FanduelExcelSub!$B$1:$D$434,3, FALSE)</f>
        <v>0</v>
      </c>
    </row>
    <row r="249" spans="1:6" x14ac:dyDescent="0.25">
      <c r="A249" s="40" t="str">
        <f>FanduelExcel!B322</f>
        <v>SG</v>
      </c>
      <c r="B249" s="40" t="str">
        <f>FanduelExcel!C322&amp;" "&amp;FanduelExcel!E322</f>
        <v>Brandon Rush</v>
      </c>
      <c r="C249">
        <v>15.9</v>
      </c>
      <c r="D249" s="40">
        <f>VLOOKUP(B249,FanduelExcelSub!$B$1:$C$434,2, FALSE)</f>
        <v>3600</v>
      </c>
      <c r="E249" s="40">
        <f>VLOOKUP(B249,MaxData!$A$1:$B$373, 2,FALSE)</f>
        <v>15.9</v>
      </c>
      <c r="F249" s="40">
        <f>VLOOKUP(B249,FanduelExcelSub!$B$1:$D$434,3, FALSE)</f>
        <v>0</v>
      </c>
    </row>
    <row r="250" spans="1:6" x14ac:dyDescent="0.25">
      <c r="A250" s="40" t="str">
        <f>FanduelExcel!B259</f>
        <v>SF</v>
      </c>
      <c r="B250" s="40" t="str">
        <f>FanduelExcel!C259&amp;" "&amp;FanduelExcel!E259</f>
        <v>Lance Thomas</v>
      </c>
      <c r="C250">
        <v>4.4000000000000004</v>
      </c>
      <c r="D250" s="40">
        <f>VLOOKUP(B250,FanduelExcelSub!$B$1:$C$434,2, FALSE)</f>
        <v>3500</v>
      </c>
      <c r="E250" s="40">
        <f>VLOOKUP(B250,MaxData!$A$1:$B$373, 2,FALSE)</f>
        <v>4.4000000000000004</v>
      </c>
      <c r="F250" s="40" t="str">
        <f>VLOOKUP(B250,FanduelExcelSub!$B$1:$D$434,3, FALSE)</f>
        <v>GTD</v>
      </c>
    </row>
    <row r="251" spans="1:6" x14ac:dyDescent="0.25">
      <c r="A251" s="40" t="str">
        <f>FanduelExcel!B311</f>
        <v>PF</v>
      </c>
      <c r="B251" s="40" t="str">
        <f>FanduelExcel!C311&amp;" "&amp;FanduelExcel!E311</f>
        <v>Kris Humphries</v>
      </c>
      <c r="C251">
        <v>15.6</v>
      </c>
      <c r="D251" s="40">
        <f>VLOOKUP(B251,FanduelExcelSub!$B$1:$C$434,2, FALSE)</f>
        <v>3500</v>
      </c>
      <c r="E251" s="40">
        <f>VLOOKUP(B251,MaxData!$A$1:$B$373, 2,FALSE)</f>
        <v>15.6</v>
      </c>
      <c r="F251" s="40">
        <f>VLOOKUP(B251,FanduelExcelSub!$B$1:$D$434,3, FALSE)</f>
        <v>0</v>
      </c>
    </row>
    <row r="252" spans="1:6" x14ac:dyDescent="0.25">
      <c r="A252" s="40" t="str">
        <f>FanduelExcel!B305</f>
        <v>PF</v>
      </c>
      <c r="B252" s="40" t="str">
        <f>FanduelExcel!C305&amp;" "&amp;FanduelExcel!E305</f>
        <v>Okaro White</v>
      </c>
      <c r="C252">
        <v>15.5</v>
      </c>
      <c r="D252" s="40">
        <f>VLOOKUP(B252,FanduelExcelSub!$B$1:$C$434,2, FALSE)</f>
        <v>3500</v>
      </c>
      <c r="E252" s="40">
        <f>VLOOKUP(B252,MaxData!$A$1:$B$373, 2,FALSE)</f>
        <v>15.5</v>
      </c>
      <c r="F252" s="40">
        <f>VLOOKUP(B252,FanduelExcelSub!$B$1:$D$434,3, FALSE)</f>
        <v>0</v>
      </c>
    </row>
    <row r="253" spans="1:6" x14ac:dyDescent="0.25">
      <c r="A253" s="40" t="str">
        <f>FanduelExcel!B316</f>
        <v>SG</v>
      </c>
      <c r="B253" s="40" t="str">
        <f>FanduelExcel!C316&amp;" "&amp;FanduelExcel!E316</f>
        <v>Anthony Morrow</v>
      </c>
      <c r="C253">
        <v>15.2</v>
      </c>
      <c r="D253" s="40">
        <f>VLOOKUP(B253,FanduelExcelSub!$B$1:$C$434,2, FALSE)</f>
        <v>3500</v>
      </c>
      <c r="E253" s="40">
        <f>VLOOKUP(B253,MaxData!$A$1:$B$373, 2,FALSE)</f>
        <v>15.2</v>
      </c>
      <c r="F253" s="40">
        <f>VLOOKUP(B253,FanduelExcelSub!$B$1:$D$434,3, FALSE)</f>
        <v>0</v>
      </c>
    </row>
    <row r="254" spans="1:6" x14ac:dyDescent="0.25">
      <c r="A254" s="40" t="str">
        <f>FanduelExcel!B355</f>
        <v>SG</v>
      </c>
      <c r="B254" s="40" t="str">
        <f>FanduelExcel!C355&amp;" "&amp;FanduelExcel!E355</f>
        <v>Randy Foye</v>
      </c>
      <c r="C254">
        <v>15.2</v>
      </c>
      <c r="D254" s="40">
        <f>VLOOKUP(B254,FanduelExcelSub!$B$1:$C$434,2, FALSE)</f>
        <v>3500</v>
      </c>
      <c r="E254" s="40">
        <f>VLOOKUP(B254,MaxData!$A$1:$B$373, 2,FALSE)</f>
        <v>15.2</v>
      </c>
      <c r="F254" s="40">
        <f>VLOOKUP(B254,FanduelExcelSub!$B$1:$D$434,3, FALSE)</f>
        <v>0</v>
      </c>
    </row>
    <row r="255" spans="1:6" x14ac:dyDescent="0.25">
      <c r="A255" s="40" t="str">
        <f>FanduelExcel!B285</f>
        <v>SF</v>
      </c>
      <c r="B255" s="40" t="str">
        <f>FanduelExcel!C285&amp;" "&amp;FanduelExcel!E285</f>
        <v>Kyle Singler</v>
      </c>
      <c r="C255">
        <v>15.1</v>
      </c>
      <c r="D255" s="40">
        <f>VLOOKUP(B255,FanduelExcelSub!$B$1:$C$434,2, FALSE)</f>
        <v>3500</v>
      </c>
      <c r="E255" s="40">
        <f>VLOOKUP(B255,MaxData!$A$1:$B$373, 2,FALSE)</f>
        <v>15.1</v>
      </c>
      <c r="F255" s="40">
        <f>VLOOKUP(B255,FanduelExcelSub!$B$1:$D$434,3, FALSE)</f>
        <v>0</v>
      </c>
    </row>
    <row r="256" spans="1:6" x14ac:dyDescent="0.25">
      <c r="A256" s="40" t="str">
        <f>FanduelExcel!B372</f>
        <v>SG</v>
      </c>
      <c r="B256" s="40" t="str">
        <f>FanduelExcel!C372&amp;" "&amp;FanduelExcel!E372</f>
        <v>Gerald Green</v>
      </c>
      <c r="C256">
        <v>15</v>
      </c>
      <c r="D256" s="40">
        <f>VLOOKUP(B256,FanduelExcelSub!$B$1:$C$434,2, FALSE)</f>
        <v>3500</v>
      </c>
      <c r="E256" s="40">
        <f>VLOOKUP(B256,MaxData!$A$1:$B$373, 2,FALSE)</f>
        <v>15</v>
      </c>
      <c r="F256" s="40">
        <f>VLOOKUP(B256,FanduelExcelSub!$B$1:$D$434,3, FALSE)</f>
        <v>0</v>
      </c>
    </row>
    <row r="257" spans="1:6" x14ac:dyDescent="0.25">
      <c r="A257" s="40" t="str">
        <f>FanduelExcel!B290</f>
        <v>PG</v>
      </c>
      <c r="B257" s="40" t="str">
        <f>FanduelExcel!C290&amp;" "&amp;FanduelExcel!E290</f>
        <v>Brian Roberts</v>
      </c>
      <c r="C257">
        <v>14.9</v>
      </c>
      <c r="D257" s="40">
        <f>VLOOKUP(B257,FanduelExcelSub!$B$1:$C$434,2, FALSE)</f>
        <v>3500</v>
      </c>
      <c r="E257" s="40">
        <f>VLOOKUP(B257,MaxData!$A$1:$B$373, 2,FALSE)</f>
        <v>14.9</v>
      </c>
      <c r="F257" s="40">
        <f>VLOOKUP(B257,FanduelExcelSub!$B$1:$D$434,3, FALSE)</f>
        <v>0</v>
      </c>
    </row>
    <row r="258" spans="1:6" x14ac:dyDescent="0.25">
      <c r="A258" s="40" t="str">
        <f>FanduelExcel!B253</f>
        <v>PF</v>
      </c>
      <c r="B258" s="40" t="str">
        <f>FanduelExcel!C253&amp;" "&amp;FanduelExcel!E253</f>
        <v>Henry Ellenson</v>
      </c>
      <c r="C258">
        <v>0</v>
      </c>
      <c r="D258" s="40">
        <f>VLOOKUP(B258,FanduelExcelSub!$B$1:$C$434,2, FALSE)</f>
        <v>3500</v>
      </c>
      <c r="E258" s="40" t="e">
        <f>VLOOKUP(B258,MaxData!$A$1:$B$373, 2,FALSE)</f>
        <v>#N/A</v>
      </c>
      <c r="F258" s="40">
        <f>VLOOKUP(B258,FanduelExcelSub!$B$1:$D$434,3, FALSE)</f>
        <v>0</v>
      </c>
    </row>
    <row r="259" spans="1:6" x14ac:dyDescent="0.25">
      <c r="A259" s="40" t="str">
        <f>FanduelExcel!B392</f>
        <v>PF</v>
      </c>
      <c r="B259" s="40" t="str">
        <f>FanduelExcel!C392&amp;" "&amp;FanduelExcel!E392</f>
        <v>Jonas Jerebko</v>
      </c>
      <c r="C259">
        <v>14.6</v>
      </c>
      <c r="D259" s="40">
        <f>VLOOKUP(B259,FanduelExcelSub!$B$1:$C$434,2, FALSE)</f>
        <v>3500</v>
      </c>
      <c r="E259" s="40">
        <f>VLOOKUP(B259,MaxData!$A$1:$B$373, 2,FALSE)</f>
        <v>14.6</v>
      </c>
      <c r="F259" s="40">
        <f>VLOOKUP(B259,FanduelExcelSub!$B$1:$D$434,3, FALSE)</f>
        <v>0</v>
      </c>
    </row>
    <row r="260" spans="1:6" x14ac:dyDescent="0.25">
      <c r="A260" s="40" t="str">
        <f>FanduelExcel!B378</f>
        <v>PF</v>
      </c>
      <c r="B260" s="40" t="str">
        <f>FanduelExcel!C378&amp;" "&amp;FanduelExcel!E378</f>
        <v>Noah Vonleh</v>
      </c>
      <c r="C260">
        <v>14.3</v>
      </c>
      <c r="D260" s="40">
        <f>VLOOKUP(B260,FanduelExcelSub!$B$1:$C$434,2, FALSE)</f>
        <v>3500</v>
      </c>
      <c r="E260" s="40">
        <f>VLOOKUP(B260,MaxData!$A$1:$B$373, 2,FALSE)</f>
        <v>14.3</v>
      </c>
      <c r="F260" s="40">
        <f>VLOOKUP(B260,FanduelExcelSub!$B$1:$D$434,3, FALSE)</f>
        <v>0</v>
      </c>
    </row>
    <row r="261" spans="1:6" x14ac:dyDescent="0.25">
      <c r="A261" s="40" t="str">
        <f>FanduelExcel!B373</f>
        <v>SG</v>
      </c>
      <c r="B261" s="40" t="str">
        <f>FanduelExcel!C373&amp;" "&amp;FanduelExcel!E373</f>
        <v>Pat Connaughton</v>
      </c>
      <c r="C261">
        <v>13.9</v>
      </c>
      <c r="D261" s="40">
        <f>VLOOKUP(B261,FanduelExcelSub!$B$1:$C$434,2, FALSE)</f>
        <v>3500</v>
      </c>
      <c r="E261" s="40">
        <f>VLOOKUP(B261,MaxData!$A$1:$B$373, 2,FALSE)</f>
        <v>13.9</v>
      </c>
      <c r="F261" s="40">
        <f>VLOOKUP(B261,FanduelExcelSub!$B$1:$D$434,3, FALSE)</f>
        <v>0</v>
      </c>
    </row>
    <row r="262" spans="1:6" x14ac:dyDescent="0.25">
      <c r="A262" s="40" t="str">
        <f>FanduelExcel!B304</f>
        <v>PF</v>
      </c>
      <c r="B262" s="40" t="str">
        <f>FanduelExcel!C304&amp;" "&amp;FanduelExcel!E304</f>
        <v>Boris Diaw</v>
      </c>
      <c r="C262">
        <v>13.6</v>
      </c>
      <c r="D262" s="40">
        <f>VLOOKUP(B262,FanduelExcelSub!$B$1:$C$434,2, FALSE)</f>
        <v>3500</v>
      </c>
      <c r="E262" s="40">
        <f>VLOOKUP(B262,MaxData!$A$1:$B$373, 2,FALSE)</f>
        <v>13.6</v>
      </c>
      <c r="F262" s="40">
        <f>VLOOKUP(B262,FanduelExcelSub!$B$1:$D$434,3, FALSE)</f>
        <v>0</v>
      </c>
    </row>
    <row r="263" spans="1:6" x14ac:dyDescent="0.25">
      <c r="A263" s="40" t="str">
        <f>FanduelExcel!B182</f>
        <v>SF</v>
      </c>
      <c r="B263" s="40" t="str">
        <f>FanduelExcel!C182&amp;" "&amp;FanduelExcel!E182</f>
        <v>Georges Niang</v>
      </c>
      <c r="C263">
        <v>0</v>
      </c>
      <c r="D263" s="40">
        <f>VLOOKUP(B263,FanduelExcelSub!$B$1:$C$434,2, FALSE)</f>
        <v>3500</v>
      </c>
      <c r="E263" s="40" t="e">
        <f>VLOOKUP(B263,MaxData!$A$1:$B$373, 2,FALSE)</f>
        <v>#N/A</v>
      </c>
      <c r="F263" s="40">
        <f>VLOOKUP(B263,FanduelExcelSub!$B$1:$D$434,3, FALSE)</f>
        <v>0</v>
      </c>
    </row>
    <row r="264" spans="1:6" x14ac:dyDescent="0.25">
      <c r="A264" s="40" t="str">
        <f>FanduelExcel!B181</f>
        <v>SG</v>
      </c>
      <c r="B264" s="40" t="str">
        <f>FanduelExcel!C181&amp;" "&amp;FanduelExcel!E181</f>
        <v>Buddy Hield</v>
      </c>
      <c r="C264">
        <v>22.3</v>
      </c>
      <c r="D264" s="40">
        <f>VLOOKUP(B264,FanduelExcelSub!$B$1:$C$434,2, FALSE)</f>
        <v>3500</v>
      </c>
      <c r="E264" s="40">
        <f>VLOOKUP(B264,MaxData!$A$1:$B$373, 2,FALSE)</f>
        <v>22.3</v>
      </c>
      <c r="F264" s="40">
        <f>VLOOKUP(B264,FanduelExcelSub!$B$1:$D$434,3, FALSE)</f>
        <v>0</v>
      </c>
    </row>
    <row r="265" spans="1:6" x14ac:dyDescent="0.25">
      <c r="A265" s="40" t="str">
        <f>FanduelExcel!B398</f>
        <v>C</v>
      </c>
      <c r="B265" s="40" t="str">
        <f>FanduelExcel!C398&amp;" "&amp;FanduelExcel!E398</f>
        <v>Willie Reed</v>
      </c>
      <c r="C265">
        <v>13.2</v>
      </c>
      <c r="D265" s="40">
        <f>VLOOKUP(B265,FanduelExcelSub!$B$1:$C$434,2, FALSE)</f>
        <v>3500</v>
      </c>
      <c r="E265" s="40">
        <f>VLOOKUP(B265,MaxData!$A$1:$B$373, 2,FALSE)</f>
        <v>13.2</v>
      </c>
      <c r="F265" s="40">
        <f>VLOOKUP(B265,FanduelExcelSub!$B$1:$D$434,3, FALSE)</f>
        <v>0</v>
      </c>
    </row>
    <row r="266" spans="1:6" x14ac:dyDescent="0.25">
      <c r="A266" s="40" t="str">
        <f>FanduelExcel!B306</f>
        <v>SG</v>
      </c>
      <c r="B266" s="40" t="str">
        <f>FanduelExcel!C306&amp;" "&amp;FanduelExcel!E306</f>
        <v>Alex Abrines</v>
      </c>
      <c r="C266">
        <v>12.4</v>
      </c>
      <c r="D266" s="40">
        <f>VLOOKUP(B266,FanduelExcelSub!$B$1:$C$434,2, FALSE)</f>
        <v>3500</v>
      </c>
      <c r="E266" s="40">
        <f>VLOOKUP(B266,MaxData!$A$1:$B$373, 2,FALSE)</f>
        <v>12.4</v>
      </c>
      <c r="F266" s="40">
        <f>VLOOKUP(B266,FanduelExcelSub!$B$1:$D$434,3, FALSE)</f>
        <v>0</v>
      </c>
    </row>
    <row r="267" spans="1:6" x14ac:dyDescent="0.25">
      <c r="A267" s="40" t="str">
        <f>FanduelExcel!B244</f>
        <v>SG</v>
      </c>
      <c r="B267" s="40" t="str">
        <f>FanduelExcel!C244&amp;" "&amp;FanduelExcel!E244</f>
        <v>Sasha Vujacic</v>
      </c>
      <c r="C267">
        <v>0</v>
      </c>
      <c r="D267" s="40">
        <f>VLOOKUP(B267,FanduelExcelSub!$B$1:$C$434,2, FALSE)</f>
        <v>3500</v>
      </c>
      <c r="E267" s="40" t="e">
        <f>VLOOKUP(B267,MaxData!$A$1:$B$373, 2,FALSE)</f>
        <v>#N/A</v>
      </c>
      <c r="F267" s="40">
        <f>VLOOKUP(B267,FanduelExcelSub!$B$1:$D$434,3, FALSE)</f>
        <v>0</v>
      </c>
    </row>
    <row r="268" spans="1:6" x14ac:dyDescent="0.25">
      <c r="A268" s="40" t="str">
        <f>FanduelExcel!B269</f>
        <v>SF</v>
      </c>
      <c r="B268" s="40" t="str">
        <f>FanduelExcel!C269&amp;" "&amp;FanduelExcel!E269</f>
        <v>Mike Scott</v>
      </c>
      <c r="C268">
        <v>0</v>
      </c>
      <c r="D268" s="40">
        <f>VLOOKUP(B268,FanduelExcelSub!$B$1:$C$434,2, FALSE)</f>
        <v>3500</v>
      </c>
      <c r="E268" s="40" t="e">
        <f>VLOOKUP(B268,MaxData!$A$1:$B$373, 2,FALSE)</f>
        <v>#N/A</v>
      </c>
      <c r="F268" s="40">
        <f>VLOOKUP(B268,FanduelExcelSub!$B$1:$D$434,3, FALSE)</f>
        <v>0</v>
      </c>
    </row>
    <row r="269" spans="1:6" x14ac:dyDescent="0.25">
      <c r="A269" s="40" t="str">
        <f>FanduelExcel!B288</f>
        <v>PG</v>
      </c>
      <c r="B269" s="40" t="str">
        <f>FanduelExcel!C288&amp;" "&amp;FanduelExcel!E288</f>
        <v>Ron Baker</v>
      </c>
      <c r="C269">
        <v>11.2</v>
      </c>
      <c r="D269" s="40">
        <f>VLOOKUP(B269,FanduelExcelSub!$B$1:$C$434,2, FALSE)</f>
        <v>3500</v>
      </c>
      <c r="E269" s="40">
        <f>VLOOKUP(B269,MaxData!$A$1:$B$373, 2,FALSE)</f>
        <v>11.2</v>
      </c>
      <c r="F269" s="40">
        <f>VLOOKUP(B269,FanduelExcelSub!$B$1:$D$434,3, FALSE)</f>
        <v>0</v>
      </c>
    </row>
    <row r="270" spans="1:6" x14ac:dyDescent="0.25">
      <c r="A270" s="40" t="str">
        <f>FanduelExcel!B289</f>
        <v>PG</v>
      </c>
      <c r="B270" s="40" t="str">
        <f>FanduelExcel!C289&amp;" "&amp;FanduelExcel!E289</f>
        <v>Shabazz Napier</v>
      </c>
      <c r="C270">
        <v>11.2</v>
      </c>
      <c r="D270" s="40">
        <f>VLOOKUP(B270,FanduelExcelSub!$B$1:$C$434,2, FALSE)</f>
        <v>3500</v>
      </c>
      <c r="E270" s="40">
        <f>VLOOKUP(B270,MaxData!$A$1:$B$373, 2,FALSE)</f>
        <v>11.2</v>
      </c>
      <c r="F270" s="40">
        <f>VLOOKUP(B270,FanduelExcelSub!$B$1:$D$434,3, FALSE)</f>
        <v>0</v>
      </c>
    </row>
    <row r="271" spans="1:6" x14ac:dyDescent="0.25">
      <c r="A271" s="40" t="str">
        <f>FanduelExcel!B223</f>
        <v>C</v>
      </c>
      <c r="B271" s="40" t="str">
        <f>FanduelExcel!C223&amp;" "&amp;FanduelExcel!E223</f>
        <v>Anderson Varejao</v>
      </c>
      <c r="C271">
        <v>0</v>
      </c>
      <c r="D271" s="40">
        <f>VLOOKUP(B271,FanduelExcelSub!$B$1:$C$434,2, FALSE)</f>
        <v>3500</v>
      </c>
      <c r="E271" s="40" t="e">
        <f>VLOOKUP(B271,MaxData!$A$1:$B$373, 2,FALSE)</f>
        <v>#N/A</v>
      </c>
      <c r="F271" s="40">
        <f>VLOOKUP(B271,FanduelExcelSub!$B$1:$D$434,3, FALSE)</f>
        <v>0</v>
      </c>
    </row>
    <row r="272" spans="1:6" x14ac:dyDescent="0.25">
      <c r="A272" s="40" t="str">
        <f>FanduelExcel!B319</f>
        <v>PF</v>
      </c>
      <c r="B272" s="40" t="str">
        <f>FanduelExcel!C319&amp;" "&amp;FanduelExcel!E319</f>
        <v>Luis Scola</v>
      </c>
      <c r="C272">
        <v>10.8</v>
      </c>
      <c r="D272" s="40">
        <f>VLOOKUP(B272,FanduelExcelSub!$B$1:$C$434,2, FALSE)</f>
        <v>3500</v>
      </c>
      <c r="E272" s="40">
        <f>VLOOKUP(B272,MaxData!$A$1:$B$373, 2,FALSE)</f>
        <v>10.8</v>
      </c>
      <c r="F272" s="40">
        <f>VLOOKUP(B272,FanduelExcelSub!$B$1:$D$434,3, FALSE)</f>
        <v>0</v>
      </c>
    </row>
    <row r="273" spans="1:6" x14ac:dyDescent="0.25">
      <c r="A273" s="40" t="str">
        <f>FanduelExcel!B389</f>
        <v>SG</v>
      </c>
      <c r="B273" s="40" t="str">
        <f>FanduelExcel!C389&amp;" "&amp;FanduelExcel!E389</f>
        <v>Lamar Patterson</v>
      </c>
      <c r="C273">
        <v>9.9</v>
      </c>
      <c r="D273" s="40">
        <f>VLOOKUP(B273,FanduelExcelSub!$B$1:$C$434,2, FALSE)</f>
        <v>3500</v>
      </c>
      <c r="E273" s="40">
        <f>VLOOKUP(B273,MaxData!$A$1:$B$373, 2,FALSE)</f>
        <v>9.9</v>
      </c>
      <c r="F273" s="40">
        <f>VLOOKUP(B273,FanduelExcelSub!$B$1:$D$434,3, FALSE)</f>
        <v>0</v>
      </c>
    </row>
    <row r="274" spans="1:6" x14ac:dyDescent="0.25">
      <c r="A274" s="40" t="str">
        <f>FanduelExcel!B272</f>
        <v>SG</v>
      </c>
      <c r="B274" s="40" t="str">
        <f>FanduelExcel!C272&amp;" "&amp;FanduelExcel!E272</f>
        <v>Alan Anderson</v>
      </c>
      <c r="C274">
        <v>8.6999999999999993</v>
      </c>
      <c r="D274" s="40">
        <f>VLOOKUP(B274,FanduelExcelSub!$B$1:$C$434,2, FALSE)</f>
        <v>3500</v>
      </c>
      <c r="E274" s="40">
        <f>VLOOKUP(B274,MaxData!$A$1:$B$373, 2,FALSE)</f>
        <v>8.6999999999999993</v>
      </c>
      <c r="F274" s="40">
        <f>VLOOKUP(B274,FanduelExcelSub!$B$1:$D$434,3, FALSE)</f>
        <v>0</v>
      </c>
    </row>
    <row r="275" spans="1:6" x14ac:dyDescent="0.25">
      <c r="A275" s="40" t="str">
        <f>FanduelExcel!B356</f>
        <v>SF</v>
      </c>
      <c r="B275" s="40" t="str">
        <f>FanduelExcel!C356&amp;" "&amp;FanduelExcel!E356</f>
        <v>Mike Miller</v>
      </c>
      <c r="C275">
        <v>8.4</v>
      </c>
      <c r="D275" s="40">
        <f>VLOOKUP(B275,FanduelExcelSub!$B$1:$C$434,2, FALSE)</f>
        <v>3500</v>
      </c>
      <c r="E275" s="40">
        <f>VLOOKUP(B275,MaxData!$A$1:$B$373, 2,FALSE)</f>
        <v>8.4</v>
      </c>
      <c r="F275" s="40">
        <f>VLOOKUP(B275,FanduelExcelSub!$B$1:$D$434,3, FALSE)</f>
        <v>0</v>
      </c>
    </row>
    <row r="276" spans="1:6" x14ac:dyDescent="0.25">
      <c r="A276" s="40" t="str">
        <f>FanduelExcel!B369</f>
        <v>PG</v>
      </c>
      <c r="B276" s="40" t="str">
        <f>FanduelExcel!C369&amp;" "&amp;FanduelExcel!E369</f>
        <v>Semaj Christon</v>
      </c>
      <c r="C276">
        <v>7.6</v>
      </c>
      <c r="D276" s="40">
        <f>VLOOKUP(B276,FanduelExcelSub!$B$1:$C$434,2, FALSE)</f>
        <v>3500</v>
      </c>
      <c r="E276" s="40">
        <f>VLOOKUP(B276,MaxData!$A$1:$B$373, 2,FALSE)</f>
        <v>7.6</v>
      </c>
      <c r="F276" s="40">
        <f>VLOOKUP(B276,FanduelExcelSub!$B$1:$D$434,3, FALSE)</f>
        <v>0</v>
      </c>
    </row>
    <row r="277" spans="1:6" x14ac:dyDescent="0.25">
      <c r="A277" s="40" t="str">
        <f>FanduelExcel!B256</f>
        <v>PG</v>
      </c>
      <c r="B277" s="40" t="str">
        <f>FanduelExcel!C256&amp;" "&amp;FanduelExcel!E256</f>
        <v>Nicolas Laprovittola</v>
      </c>
      <c r="C277">
        <v>0</v>
      </c>
      <c r="D277" s="40">
        <f>VLOOKUP(B277,FanduelExcelSub!$B$1:$C$434,2, FALSE)</f>
        <v>3500</v>
      </c>
      <c r="E277" s="40" t="e">
        <f>VLOOKUP(B277,MaxData!$A$1:$B$373, 2,FALSE)</f>
        <v>#N/A</v>
      </c>
      <c r="F277" s="40">
        <f>VLOOKUP(B277,FanduelExcelSub!$B$1:$D$434,3, FALSE)</f>
        <v>0</v>
      </c>
    </row>
    <row r="278" spans="1:6" x14ac:dyDescent="0.25">
      <c r="A278" s="40" t="str">
        <f>FanduelExcel!B264</f>
        <v>PF</v>
      </c>
      <c r="B278" s="40" t="str">
        <f>FanduelExcel!C264&amp;" "&amp;FanduelExcel!E264</f>
        <v>Mike Muscala</v>
      </c>
      <c r="C278">
        <v>22.6</v>
      </c>
      <c r="D278" s="40">
        <f>VLOOKUP(B278,FanduelExcelSub!$B$1:$C$434,2, FALSE)</f>
        <v>3500</v>
      </c>
      <c r="E278" s="40">
        <f>VLOOKUP(B278,MaxData!$A$1:$B$373, 2,FALSE)</f>
        <v>22.6</v>
      </c>
      <c r="F278" s="40">
        <f>VLOOKUP(B278,FanduelExcelSub!$B$1:$D$434,3, FALSE)</f>
        <v>0</v>
      </c>
    </row>
    <row r="279" spans="1:6" x14ac:dyDescent="0.25">
      <c r="A279" s="40" t="str">
        <f>FanduelExcel!B347</f>
        <v>SF</v>
      </c>
      <c r="B279" s="40" t="str">
        <f>FanduelExcel!C347&amp;" "&amp;FanduelExcel!E347</f>
        <v>Lance Thomas</v>
      </c>
      <c r="C279">
        <v>4.4000000000000004</v>
      </c>
      <c r="D279" s="40">
        <f>VLOOKUP(B279,FanduelExcelSub!$B$1:$C$434,2, FALSE)</f>
        <v>3500</v>
      </c>
      <c r="E279" s="40">
        <f>VLOOKUP(B279,MaxData!$A$1:$B$373, 2,FALSE)</f>
        <v>4.4000000000000004</v>
      </c>
      <c r="F279" s="40" t="str">
        <f>VLOOKUP(B279,FanduelExcelSub!$B$1:$D$434,3, FALSE)</f>
        <v>GTD</v>
      </c>
    </row>
    <row r="280" spans="1:6" x14ac:dyDescent="0.25">
      <c r="A280" s="40" t="str">
        <f>FanduelExcel!B18</f>
        <v>PG</v>
      </c>
      <c r="B280" s="40" t="str">
        <f>FanduelExcel!C18&amp;" "&amp;FanduelExcel!E18</f>
        <v>Goran Dragic</v>
      </c>
      <c r="C280">
        <v>46.9</v>
      </c>
      <c r="D280" s="40">
        <f>VLOOKUP(B280,FanduelExcelSub!$B$1:$C$434,2, FALSE)</f>
        <v>8100</v>
      </c>
      <c r="E280" s="40">
        <f>VLOOKUP(B280,MaxData!$A$1:$B$373, 2,FALSE)</f>
        <v>46.9</v>
      </c>
      <c r="F280" s="40">
        <f>VLOOKUP(B280,FanduelExcelSub!$B$1:$D$434,3, FALSE)</f>
        <v>0</v>
      </c>
    </row>
    <row r="281" spans="1:6" x14ac:dyDescent="0.25">
      <c r="A281" s="40" t="str">
        <f>FanduelExcel!B24</f>
        <v>SF</v>
      </c>
      <c r="B281" s="40" t="str">
        <f>FanduelExcel!C24&amp;" "&amp;FanduelExcel!E24</f>
        <v>Andrew Wiggins</v>
      </c>
      <c r="C281">
        <v>50.8</v>
      </c>
      <c r="D281" s="40">
        <f>VLOOKUP(B281,FanduelExcelSub!$B$1:$C$434,2, FALSE)</f>
        <v>7600</v>
      </c>
      <c r="E281" s="40">
        <f>VLOOKUP(B281,MaxData!$A$1:$B$373, 2,FALSE)</f>
        <v>50.8</v>
      </c>
      <c r="F281" s="40">
        <f>VLOOKUP(B281,FanduelExcelSub!$B$1:$D$434,3, FALSE)</f>
        <v>0</v>
      </c>
    </row>
    <row r="282" spans="1:6" x14ac:dyDescent="0.25">
      <c r="A282" s="40" t="str">
        <f>FanduelExcel!B30</f>
        <v>C</v>
      </c>
      <c r="B282" s="40" t="str">
        <f>FanduelExcel!C30&amp;" "&amp;FanduelExcel!E30</f>
        <v>Dwight Howard</v>
      </c>
      <c r="C282">
        <v>57.1</v>
      </c>
      <c r="D282" s="40">
        <f>VLOOKUP(B282,FanduelExcelSub!$B$1:$C$434,2, FALSE)</f>
        <v>7000</v>
      </c>
      <c r="E282" s="40">
        <f>VLOOKUP(B282,MaxData!$A$1:$B$373, 2,FALSE)</f>
        <v>57.1</v>
      </c>
      <c r="F282" s="40">
        <f>VLOOKUP(B282,FanduelExcelSub!$B$1:$D$434,3, FALSE)</f>
        <v>0</v>
      </c>
    </row>
    <row r="283" spans="1:6" x14ac:dyDescent="0.25">
      <c r="A283" s="40" t="str">
        <f>FanduelExcel!B47</f>
        <v>PF</v>
      </c>
      <c r="B283" s="40" t="str">
        <f>FanduelExcel!C47&amp;" "&amp;FanduelExcel!E47</f>
        <v>Kenneth Faried</v>
      </c>
      <c r="C283">
        <v>0</v>
      </c>
      <c r="D283" s="40">
        <f>VLOOKUP(B283,FanduelExcelSub!$B$1:$C$434,2, FALSE)</f>
        <v>6100</v>
      </c>
      <c r="E283" s="40" t="e">
        <f>VLOOKUP(B283,MaxData!$A$1:$B$373, 2,FALSE)</f>
        <v>#N/A</v>
      </c>
      <c r="F283" s="40" t="str">
        <f>VLOOKUP(B283,FanduelExcelSub!$B$1:$D$434,3, FALSE)</f>
        <v>O</v>
      </c>
    </row>
    <row r="284" spans="1:6" x14ac:dyDescent="0.25">
      <c r="A284" s="40" t="str">
        <f>FanduelExcel!B53</f>
        <v>SF</v>
      </c>
      <c r="B284" s="40" t="str">
        <f>FanduelExcel!C53&amp;" "&amp;FanduelExcel!E53</f>
        <v>Marcus Morris</v>
      </c>
      <c r="C284">
        <v>46.2</v>
      </c>
      <c r="D284" s="40">
        <f>VLOOKUP(B284,FanduelExcelSub!$B$1:$C$434,2, FALSE)</f>
        <v>5800</v>
      </c>
      <c r="E284" s="40">
        <f>VLOOKUP(B284,MaxData!$A$1:$B$373, 2,FALSE)</f>
        <v>46.2</v>
      </c>
      <c r="F284" s="40">
        <f>VLOOKUP(B284,FanduelExcelSub!$B$1:$D$434,3, FALSE)</f>
        <v>0</v>
      </c>
    </row>
    <row r="285" spans="1:6" x14ac:dyDescent="0.25">
      <c r="A285" s="40" t="str">
        <f>FanduelExcel!B57</f>
        <v>PF</v>
      </c>
      <c r="B285" s="40" t="str">
        <f>FanduelExcel!C57&amp;" "&amp;FanduelExcel!E57</f>
        <v>Thaddeus Young</v>
      </c>
      <c r="C285">
        <v>0</v>
      </c>
      <c r="D285" s="40">
        <f>VLOOKUP(B285,FanduelExcelSub!$B$1:$C$434,2, FALSE)</f>
        <v>5700</v>
      </c>
      <c r="E285" s="40" t="e">
        <f>VLOOKUP(B285,MaxData!$A$1:$B$373, 2,FALSE)</f>
        <v>#N/A</v>
      </c>
      <c r="F285" s="40" t="str">
        <f>VLOOKUP(B285,FanduelExcelSub!$B$1:$D$434,3, FALSE)</f>
        <v>GTD</v>
      </c>
    </row>
    <row r="286" spans="1:6" x14ac:dyDescent="0.25">
      <c r="A286" s="40" t="str">
        <f>FanduelExcel!B62</f>
        <v>PF</v>
      </c>
      <c r="B286" s="40" t="str">
        <f>FanduelExcel!C62&amp;" "&amp;FanduelExcel!E62</f>
        <v>Terrence Jones</v>
      </c>
      <c r="C286">
        <v>0</v>
      </c>
      <c r="D286" s="40">
        <f>VLOOKUP(B286,FanduelExcelSub!$B$1:$C$434,2, FALSE)</f>
        <v>5500</v>
      </c>
      <c r="E286" s="40" t="e">
        <f>VLOOKUP(B286,MaxData!$A$1:$B$373, 2,FALSE)</f>
        <v>#N/A</v>
      </c>
      <c r="F286" s="40">
        <f>VLOOKUP(B286,FanduelExcelSub!$B$1:$D$434,3, FALSE)</f>
        <v>0</v>
      </c>
    </row>
    <row r="287" spans="1:6" x14ac:dyDescent="0.25">
      <c r="A287" s="40" t="str">
        <f>FanduelExcel!B64</f>
        <v>PF</v>
      </c>
      <c r="B287" s="40" t="str">
        <f>FanduelExcel!C64&amp;" "&amp;FanduelExcel!E64</f>
        <v>Trevor Booker</v>
      </c>
      <c r="C287">
        <v>35</v>
      </c>
      <c r="D287" s="40">
        <f>VLOOKUP(B287,FanduelExcelSub!$B$1:$C$434,2, FALSE)</f>
        <v>5300</v>
      </c>
      <c r="E287" s="40">
        <f>VLOOKUP(B287,MaxData!$A$1:$B$373, 2,FALSE)</f>
        <v>35</v>
      </c>
      <c r="F287" s="40">
        <f>VLOOKUP(B287,FanduelExcelSub!$B$1:$D$434,3, FALSE)</f>
        <v>0</v>
      </c>
    </row>
    <row r="288" spans="1:6" x14ac:dyDescent="0.25">
      <c r="A288" s="40" t="str">
        <f>FanduelExcel!B65</f>
        <v>SG</v>
      </c>
      <c r="B288" s="40" t="str">
        <f>FanduelExcel!C65&amp;" "&amp;FanduelExcel!E65</f>
        <v>Josh Richardson</v>
      </c>
      <c r="C288">
        <v>0</v>
      </c>
      <c r="D288" s="40">
        <f>VLOOKUP(B288,FanduelExcelSub!$B$1:$C$434,2, FALSE)</f>
        <v>5300</v>
      </c>
      <c r="E288" s="40" t="e">
        <f>VLOOKUP(B288,MaxData!$A$1:$B$373, 2,FALSE)</f>
        <v>#N/A</v>
      </c>
      <c r="F288" s="40" t="str">
        <f>VLOOKUP(B288,FanduelExcelSub!$B$1:$D$434,3, FALSE)</f>
        <v>GTD</v>
      </c>
    </row>
    <row r="289" spans="1:6" x14ac:dyDescent="0.25">
      <c r="A289" s="40" t="str">
        <f>FanduelExcel!B74</f>
        <v>PG</v>
      </c>
      <c r="B289" s="40" t="str">
        <f>FanduelExcel!C74&amp;" "&amp;FanduelExcel!E74</f>
        <v>Rajon Rondo</v>
      </c>
      <c r="C289">
        <v>31.2</v>
      </c>
      <c r="D289" s="40">
        <f>VLOOKUP(B289,FanduelExcelSub!$B$1:$C$434,2, FALSE)</f>
        <v>5000</v>
      </c>
      <c r="E289" s="40">
        <f>VLOOKUP(B289,MaxData!$A$1:$B$373, 2,FALSE)</f>
        <v>31.2</v>
      </c>
      <c r="F289" s="40">
        <f>VLOOKUP(B289,FanduelExcelSub!$B$1:$D$434,3, FALSE)</f>
        <v>0</v>
      </c>
    </row>
    <row r="290" spans="1:6" x14ac:dyDescent="0.25">
      <c r="A290" s="40" t="str">
        <f>FanduelExcel!B86</f>
        <v>SF</v>
      </c>
      <c r="B290" s="40" t="str">
        <f>FanduelExcel!C86&amp;" "&amp;FanduelExcel!E86</f>
        <v>T.J. Warren</v>
      </c>
      <c r="C290">
        <v>34.299999999999997</v>
      </c>
      <c r="D290" s="40">
        <f>VLOOKUP(B290,FanduelExcelSub!$B$1:$C$434,2, FALSE)</f>
        <v>4500</v>
      </c>
      <c r="E290" s="40">
        <f>VLOOKUP(B290,MaxData!$A$1:$B$373, 2,FALSE)</f>
        <v>34.299999999999997</v>
      </c>
      <c r="F290" s="40">
        <f>VLOOKUP(B290,FanduelExcelSub!$B$1:$D$434,3, FALSE)</f>
        <v>0</v>
      </c>
    </row>
    <row r="291" spans="1:6" x14ac:dyDescent="0.25">
      <c r="A291" s="40" t="str">
        <f>FanduelExcel!B87</f>
        <v>SF</v>
      </c>
      <c r="B291" s="40" t="str">
        <f>FanduelExcel!C87&amp;" "&amp;FanduelExcel!E87</f>
        <v>Rondae Hollis-Jefferson</v>
      </c>
      <c r="C291">
        <v>29.2</v>
      </c>
      <c r="D291" s="40">
        <f>VLOOKUP(B291,FanduelExcelSub!$B$1:$C$434,2, FALSE)</f>
        <v>4500</v>
      </c>
      <c r="E291" s="40">
        <f>VLOOKUP(B291,MaxData!$A$1:$B$373, 2,FALSE)</f>
        <v>29.2</v>
      </c>
      <c r="F291" s="40">
        <f>VLOOKUP(B291,FanduelExcelSub!$B$1:$D$434,3, FALSE)</f>
        <v>0</v>
      </c>
    </row>
    <row r="292" spans="1:6" x14ac:dyDescent="0.25">
      <c r="A292" s="40" t="str">
        <f>FanduelExcel!B99</f>
        <v>PF</v>
      </c>
      <c r="B292" s="40" t="str">
        <f>FanduelExcel!C99&amp;" "&amp;FanduelExcel!E99</f>
        <v>Larry Nance Jr.</v>
      </c>
      <c r="C292">
        <v>30</v>
      </c>
      <c r="D292" s="40">
        <f>VLOOKUP(B292,FanduelExcelSub!$B$1:$C$434,2, FALSE)</f>
        <v>4200</v>
      </c>
      <c r="E292" s="40">
        <f>VLOOKUP(B292,MaxData!$A$1:$B$373, 2,FALSE)</f>
        <v>30</v>
      </c>
      <c r="F292" s="40">
        <f>VLOOKUP(B292,FanduelExcelSub!$B$1:$D$434,3, FALSE)</f>
        <v>0</v>
      </c>
    </row>
    <row r="293" spans="1:6" x14ac:dyDescent="0.25">
      <c r="A293" s="40" t="str">
        <f>FanduelExcel!B107</f>
        <v>SF</v>
      </c>
      <c r="B293" s="40" t="str">
        <f>FanduelExcel!C107&amp;" "&amp;FanduelExcel!E107</f>
        <v>Brandon Ingram</v>
      </c>
      <c r="C293">
        <v>26.4</v>
      </c>
      <c r="D293" s="40">
        <f>VLOOKUP(B293,FanduelExcelSub!$B$1:$C$434,2, FALSE)</f>
        <v>4100</v>
      </c>
      <c r="E293" s="40">
        <f>VLOOKUP(B293,MaxData!$A$1:$B$373, 2,FALSE)</f>
        <v>26.4</v>
      </c>
      <c r="F293" s="40">
        <f>VLOOKUP(B293,FanduelExcelSub!$B$1:$D$434,3, FALSE)</f>
        <v>0</v>
      </c>
    </row>
    <row r="294" spans="1:6" x14ac:dyDescent="0.25">
      <c r="A294" s="40" t="str">
        <f>FanduelExcel!B110</f>
        <v>PG</v>
      </c>
      <c r="B294" s="40" t="str">
        <f>FanduelExcel!C110&amp;" "&amp;FanduelExcel!E110</f>
        <v>Ish Smith</v>
      </c>
      <c r="C294">
        <v>29.5</v>
      </c>
      <c r="D294" s="40">
        <f>VLOOKUP(B294,FanduelExcelSub!$B$1:$C$434,2, FALSE)</f>
        <v>4100</v>
      </c>
      <c r="E294" s="40">
        <f>VLOOKUP(B294,MaxData!$A$1:$B$373, 2,FALSE)</f>
        <v>29.5</v>
      </c>
      <c r="F294" s="40">
        <f>VLOOKUP(B294,FanduelExcelSub!$B$1:$D$434,3, FALSE)</f>
        <v>0</v>
      </c>
    </row>
    <row r="295" spans="1:6" x14ac:dyDescent="0.25">
      <c r="A295" s="40" t="str">
        <f>FanduelExcel!B121</f>
        <v>SF</v>
      </c>
      <c r="B295" s="40" t="str">
        <f>FanduelExcel!C121&amp;" "&amp;FanduelExcel!E121</f>
        <v>James Ennis III</v>
      </c>
      <c r="C295">
        <v>0</v>
      </c>
      <c r="D295" s="40">
        <f>VLOOKUP(B295,FanduelExcelSub!$B$1:$C$434,2, FALSE)</f>
        <v>3800</v>
      </c>
      <c r="E295" s="40" t="e">
        <f>VLOOKUP(B295,MaxData!$A$1:$B$373, 2,FALSE)</f>
        <v>#N/A</v>
      </c>
      <c r="F295" s="40">
        <f>VLOOKUP(B295,FanduelExcelSub!$B$1:$D$434,3, FALSE)</f>
        <v>0</v>
      </c>
    </row>
    <row r="296" spans="1:6" x14ac:dyDescent="0.25">
      <c r="A296" s="40" t="str">
        <f>FanduelExcel!B126</f>
        <v>C</v>
      </c>
      <c r="B296" s="40" t="str">
        <f>FanduelExcel!C126&amp;" "&amp;FanduelExcel!E126</f>
        <v>Ian Mahinmi</v>
      </c>
      <c r="C296">
        <v>10</v>
      </c>
      <c r="D296" s="40">
        <f>VLOOKUP(B296,FanduelExcelSub!$B$1:$C$434,2, FALSE)</f>
        <v>3800</v>
      </c>
      <c r="E296" s="40">
        <f>VLOOKUP(B296,MaxData!$A$1:$B$373, 2,FALSE)</f>
        <v>10</v>
      </c>
      <c r="F296" s="40">
        <f>VLOOKUP(B296,FanduelExcelSub!$B$1:$D$434,3, FALSE)</f>
        <v>0</v>
      </c>
    </row>
    <row r="297" spans="1:6" x14ac:dyDescent="0.25">
      <c r="A297" s="40" t="str">
        <f>FanduelExcel!B128</f>
        <v>SF</v>
      </c>
      <c r="B297" s="40" t="str">
        <f>FanduelExcel!C128&amp;" "&amp;FanduelExcel!E128</f>
        <v>Luol Deng</v>
      </c>
      <c r="C297">
        <v>25.2</v>
      </c>
      <c r="D297" s="40">
        <f>VLOOKUP(B297,FanduelExcelSub!$B$1:$C$434,2, FALSE)</f>
        <v>3800</v>
      </c>
      <c r="E297" s="40">
        <f>VLOOKUP(B297,MaxData!$A$1:$B$373, 2,FALSE)</f>
        <v>25.2</v>
      </c>
      <c r="F297" s="40">
        <f>VLOOKUP(B297,FanduelExcelSub!$B$1:$D$434,3, FALSE)</f>
        <v>0</v>
      </c>
    </row>
    <row r="298" spans="1:6" x14ac:dyDescent="0.25">
      <c r="A298" s="40" t="str">
        <f>FanduelExcel!B130</f>
        <v>PF</v>
      </c>
      <c r="B298" s="40" t="str">
        <f>FanduelExcel!C130&amp;" "&amp;FanduelExcel!E130</f>
        <v>Willie Cauley-Stein</v>
      </c>
      <c r="C298">
        <v>28</v>
      </c>
      <c r="D298" s="40">
        <f>VLOOKUP(B298,FanduelExcelSub!$B$1:$C$434,2, FALSE)</f>
        <v>3800</v>
      </c>
      <c r="E298" s="40">
        <f>VLOOKUP(B298,MaxData!$A$1:$B$373, 2,FALSE)</f>
        <v>28</v>
      </c>
      <c r="F298" s="40">
        <f>VLOOKUP(B298,FanduelExcelSub!$B$1:$D$434,3, FALSE)</f>
        <v>0</v>
      </c>
    </row>
    <row r="299" spans="1:6" x14ac:dyDescent="0.25">
      <c r="A299" s="40" t="str">
        <f>FanduelExcel!B131</f>
        <v>SF</v>
      </c>
      <c r="B299" s="40" t="str">
        <f>FanduelExcel!C131&amp;" "&amp;FanduelExcel!E131</f>
        <v>Rodney McGruder</v>
      </c>
      <c r="C299">
        <v>29.7</v>
      </c>
      <c r="D299" s="40">
        <f>VLOOKUP(B299,FanduelExcelSub!$B$1:$C$434,2, FALSE)</f>
        <v>3800</v>
      </c>
      <c r="E299" s="40">
        <f>VLOOKUP(B299,MaxData!$A$1:$B$373, 2,FALSE)</f>
        <v>29.7</v>
      </c>
      <c r="F299" s="40">
        <f>VLOOKUP(B299,FanduelExcelSub!$B$1:$D$434,3, FALSE)</f>
        <v>0</v>
      </c>
    </row>
    <row r="300" spans="1:6" x14ac:dyDescent="0.25">
      <c r="A300" s="40" t="str">
        <f>FanduelExcel!B136</f>
        <v>PF</v>
      </c>
      <c r="B300" s="40" t="str">
        <f>FanduelExcel!C136&amp;" "&amp;FanduelExcel!E136</f>
        <v>Anthony Tolliver</v>
      </c>
      <c r="C300">
        <v>21</v>
      </c>
      <c r="D300" s="40">
        <f>VLOOKUP(B300,FanduelExcelSub!$B$1:$C$434,2, FALSE)</f>
        <v>3700</v>
      </c>
      <c r="E300" s="40">
        <f>VLOOKUP(B300,MaxData!$A$1:$B$373, 2,FALSE)</f>
        <v>21</v>
      </c>
      <c r="F300" s="40">
        <f>VLOOKUP(B300,FanduelExcelSub!$B$1:$D$434,3, FALSE)</f>
        <v>0</v>
      </c>
    </row>
    <row r="301" spans="1:6" x14ac:dyDescent="0.25">
      <c r="A301" s="40" t="str">
        <f>FanduelExcel!B147</f>
        <v>SF</v>
      </c>
      <c r="B301" s="40" t="str">
        <f>FanduelExcel!C147&amp;" "&amp;FanduelExcel!E147</f>
        <v>DeAndre' Bembry</v>
      </c>
      <c r="C301">
        <v>0</v>
      </c>
      <c r="D301" s="40">
        <f>VLOOKUP(B301,FanduelExcelSub!$B$1:$C$434,2, FALSE)</f>
        <v>3600</v>
      </c>
      <c r="E301" s="40" t="e">
        <f>VLOOKUP(B301,MaxData!$A$1:$B$373, 2,FALSE)</f>
        <v>#N/A</v>
      </c>
      <c r="F301" s="40">
        <f>VLOOKUP(B301,FanduelExcelSub!$B$1:$D$434,3, FALSE)</f>
        <v>0</v>
      </c>
    </row>
    <row r="302" spans="1:6" x14ac:dyDescent="0.25">
      <c r="A302" s="40" t="str">
        <f>FanduelExcel!B160</f>
        <v>PG</v>
      </c>
      <c r="B302" s="40" t="str">
        <f>FanduelExcel!C160&amp;" "&amp;FanduelExcel!E160</f>
        <v>Isaiah Canaan</v>
      </c>
      <c r="C302">
        <v>11.4</v>
      </c>
      <c r="D302" s="40">
        <f>VLOOKUP(B302,FanduelExcelSub!$B$1:$C$434,2, FALSE)</f>
        <v>3500</v>
      </c>
      <c r="E302" s="40">
        <f>VLOOKUP(B302,MaxData!$A$1:$B$373, 2,FALSE)</f>
        <v>11.4</v>
      </c>
      <c r="F302" s="40" t="str">
        <f>VLOOKUP(B302,FanduelExcelSub!$B$1:$D$434,3, FALSE)</f>
        <v>GTD</v>
      </c>
    </row>
    <row r="303" spans="1:6" x14ac:dyDescent="0.25">
      <c r="A303" s="40" t="str">
        <f>FanduelExcel!B161</f>
        <v>SG</v>
      </c>
      <c r="B303" s="40" t="str">
        <f>FanduelExcel!C161&amp;" "&amp;FanduelExcel!E161</f>
        <v>Randy Foye</v>
      </c>
      <c r="C303">
        <v>15.2</v>
      </c>
      <c r="D303" s="40">
        <f>VLOOKUP(B303,FanduelExcelSub!$B$1:$C$434,2, FALSE)</f>
        <v>3500</v>
      </c>
      <c r="E303" s="40">
        <f>VLOOKUP(B303,MaxData!$A$1:$B$373, 2,FALSE)</f>
        <v>15.2</v>
      </c>
      <c r="F303" s="40">
        <f>VLOOKUP(B303,FanduelExcelSub!$B$1:$D$434,3, FALSE)</f>
        <v>0</v>
      </c>
    </row>
    <row r="304" spans="1:6" x14ac:dyDescent="0.25">
      <c r="A304" s="40" t="str">
        <f>FanduelExcel!B169</f>
        <v>SG</v>
      </c>
      <c r="B304" s="40" t="str">
        <f>FanduelExcel!C169&amp;" "&amp;FanduelExcel!E169</f>
        <v>Tomas Satoransky</v>
      </c>
      <c r="C304">
        <v>13.9</v>
      </c>
      <c r="D304" s="40">
        <f>VLOOKUP(B304,FanduelExcelSub!$B$1:$C$434,2, FALSE)</f>
        <v>3500</v>
      </c>
      <c r="E304" s="40">
        <f>VLOOKUP(B304,MaxData!$A$1:$B$373, 2,FALSE)</f>
        <v>13.9</v>
      </c>
      <c r="F304" s="40">
        <f>VLOOKUP(B304,FanduelExcelSub!$B$1:$D$434,3, FALSE)</f>
        <v>0</v>
      </c>
    </row>
    <row r="305" spans="1:6" x14ac:dyDescent="0.25">
      <c r="A305" s="40" t="str">
        <f>FanduelExcel!B171</f>
        <v>SF</v>
      </c>
      <c r="B305" s="40" t="str">
        <f>FanduelExcel!C171&amp;" "&amp;FanduelExcel!E171</f>
        <v>Luke Babbitt</v>
      </c>
      <c r="C305">
        <v>14.7</v>
      </c>
      <c r="D305" s="40">
        <f>VLOOKUP(B305,FanduelExcelSub!$B$1:$C$434,2, FALSE)</f>
        <v>3500</v>
      </c>
      <c r="E305" s="40">
        <f>VLOOKUP(B305,MaxData!$A$1:$B$373, 2,FALSE)</f>
        <v>14.7</v>
      </c>
      <c r="F305" s="40">
        <f>VLOOKUP(B305,FanduelExcelSub!$B$1:$D$434,3, FALSE)</f>
        <v>0</v>
      </c>
    </row>
    <row r="306" spans="1:6" x14ac:dyDescent="0.25">
      <c r="A306" s="40" t="str">
        <f>FanduelExcel!B185</f>
        <v>PG</v>
      </c>
      <c r="B306" s="40" t="str">
        <f>FanduelExcel!C185&amp;" "&amp;FanduelExcel!E185</f>
        <v>Dejounte Murray</v>
      </c>
      <c r="C306">
        <v>0</v>
      </c>
      <c r="D306" s="40">
        <f>VLOOKUP(B306,FanduelExcelSub!$B$1:$C$434,2, FALSE)</f>
        <v>3500</v>
      </c>
      <c r="E306" s="40" t="e">
        <f>VLOOKUP(B306,MaxData!$A$1:$B$373, 2,FALSE)</f>
        <v>#N/A</v>
      </c>
      <c r="F306" s="40">
        <f>VLOOKUP(B306,FanduelExcelSub!$B$1:$D$434,3, FALSE)</f>
        <v>0</v>
      </c>
    </row>
    <row r="307" spans="1:6" x14ac:dyDescent="0.25">
      <c r="A307" s="40" t="str">
        <f>FanduelExcel!B192</f>
        <v>PF</v>
      </c>
      <c r="B307" s="40" t="str">
        <f>FanduelExcel!C192&amp;" "&amp;FanduelExcel!E192</f>
        <v>Dragan Bender</v>
      </c>
      <c r="C307">
        <v>0</v>
      </c>
      <c r="D307" s="40">
        <f>VLOOKUP(B307,FanduelExcelSub!$B$1:$C$434,2, FALSE)</f>
        <v>3500</v>
      </c>
      <c r="E307" s="40" t="e">
        <f>VLOOKUP(B307,MaxData!$A$1:$B$373, 2,FALSE)</f>
        <v>#N/A</v>
      </c>
      <c r="F307" s="40" t="str">
        <f>VLOOKUP(B307,FanduelExcelSub!$B$1:$D$434,3, FALSE)</f>
        <v>O</v>
      </c>
    </row>
    <row r="308" spans="1:6" x14ac:dyDescent="0.25">
      <c r="A308" s="40" t="str">
        <f>FanduelExcel!B199</f>
        <v>PG</v>
      </c>
      <c r="B308" s="40" t="str">
        <f>FanduelExcel!C199&amp;" "&amp;FanduelExcel!E199</f>
        <v>Andrew Harrison</v>
      </c>
      <c r="C308">
        <v>0</v>
      </c>
      <c r="D308" s="40">
        <f>VLOOKUP(B308,FanduelExcelSub!$B$1:$C$434,2, FALSE)</f>
        <v>3500</v>
      </c>
      <c r="E308" s="40" t="e">
        <f>VLOOKUP(B308,MaxData!$A$1:$B$373, 2,FALSE)</f>
        <v>#N/A</v>
      </c>
      <c r="F308" s="40">
        <f>VLOOKUP(B308,FanduelExcelSub!$B$1:$D$434,3, FALSE)</f>
        <v>0</v>
      </c>
    </row>
    <row r="309" spans="1:6" x14ac:dyDescent="0.25">
      <c r="A309" s="40" t="str">
        <f>FanduelExcel!B202</f>
        <v>SF</v>
      </c>
      <c r="B309" s="40" t="str">
        <f>FanduelExcel!C202&amp;" "&amp;FanduelExcel!E202</f>
        <v>Paul Zipser</v>
      </c>
      <c r="C309">
        <v>0</v>
      </c>
      <c r="D309" s="40">
        <f>VLOOKUP(B309,FanduelExcelSub!$B$1:$C$434,2, FALSE)</f>
        <v>3500</v>
      </c>
      <c r="E309" s="40" t="e">
        <f>VLOOKUP(B309,MaxData!$A$1:$B$373, 2,FALSE)</f>
        <v>#N/A</v>
      </c>
      <c r="F309" s="40" t="str">
        <f>VLOOKUP(B309,FanduelExcelSub!$B$1:$D$434,3, FALSE)</f>
        <v>GTD</v>
      </c>
    </row>
    <row r="310" spans="1:6" x14ac:dyDescent="0.25">
      <c r="A310" s="40" t="str">
        <f>FanduelExcel!B207</f>
        <v>C</v>
      </c>
      <c r="B310" s="40" t="str">
        <f>FanduelExcel!C207&amp;" "&amp;FanduelExcel!E207</f>
        <v>Brandan Wright</v>
      </c>
      <c r="C310">
        <v>23.1</v>
      </c>
      <c r="D310" s="40">
        <f>VLOOKUP(B310,FanduelExcelSub!$B$1:$C$434,2, FALSE)</f>
        <v>3500</v>
      </c>
      <c r="E310" s="40">
        <f>VLOOKUP(B310,MaxData!$A$1:$B$373, 2,FALSE)</f>
        <v>23.1</v>
      </c>
      <c r="F310" s="40">
        <f>VLOOKUP(B310,FanduelExcelSub!$B$1:$D$434,3, FALSE)</f>
        <v>0</v>
      </c>
    </row>
    <row r="311" spans="1:6" x14ac:dyDescent="0.25">
      <c r="A311" s="40" t="str">
        <f>FanduelExcel!B215</f>
        <v>SG</v>
      </c>
      <c r="B311" s="40" t="str">
        <f>FanduelExcel!C215&amp;" "&amp;FanduelExcel!E215</f>
        <v>Marcus Thornton</v>
      </c>
      <c r="C311">
        <v>0</v>
      </c>
      <c r="D311" s="40">
        <f>VLOOKUP(B311,FanduelExcelSub!$B$1:$C$434,2, FALSE)</f>
        <v>3500</v>
      </c>
      <c r="E311" s="40" t="e">
        <f>VLOOKUP(B311,MaxData!$A$1:$B$373, 2,FALSE)</f>
        <v>#N/A</v>
      </c>
      <c r="F311" s="40">
        <f>VLOOKUP(B311,FanduelExcelSub!$B$1:$D$434,3, FALSE)</f>
        <v>0</v>
      </c>
    </row>
    <row r="312" spans="1:6" x14ac:dyDescent="0.25">
      <c r="A312" s="40" t="str">
        <f>FanduelExcel!B216</f>
        <v>SF</v>
      </c>
      <c r="B312" s="40" t="str">
        <f>FanduelExcel!C216&amp;" "&amp;FanduelExcel!E216</f>
        <v>Ryan Kelly</v>
      </c>
      <c r="C312">
        <v>0</v>
      </c>
      <c r="D312" s="40">
        <f>VLOOKUP(B312,FanduelExcelSub!$B$1:$C$434,2, FALSE)</f>
        <v>3500</v>
      </c>
      <c r="E312" s="40" t="e">
        <f>VLOOKUP(B312,MaxData!$A$1:$B$373, 2,FALSE)</f>
        <v>#N/A</v>
      </c>
      <c r="F312" s="40">
        <f>VLOOKUP(B312,FanduelExcelSub!$B$1:$D$434,3, FALSE)</f>
        <v>0</v>
      </c>
    </row>
    <row r="313" spans="1:6" x14ac:dyDescent="0.25">
      <c r="A313" s="40" t="str">
        <f>FanduelExcel!B228</f>
        <v>SG</v>
      </c>
      <c r="B313" s="40" t="str">
        <f>FanduelExcel!C228&amp;" "&amp;FanduelExcel!E228</f>
        <v>Arron Afflalo</v>
      </c>
      <c r="C313">
        <v>18.2</v>
      </c>
      <c r="D313" s="40">
        <f>VLOOKUP(B313,FanduelExcelSub!$B$1:$C$434,2, FALSE)</f>
        <v>3500</v>
      </c>
      <c r="E313" s="40">
        <f>VLOOKUP(B313,MaxData!$A$1:$B$373, 2,FALSE)</f>
        <v>18.2</v>
      </c>
      <c r="F313" s="40">
        <f>VLOOKUP(B313,FanduelExcelSub!$B$1:$D$434,3, FALSE)</f>
        <v>0</v>
      </c>
    </row>
    <row r="314" spans="1:6" x14ac:dyDescent="0.25">
      <c r="A314" s="40" t="str">
        <f>FanduelExcel!B230</f>
        <v>SG</v>
      </c>
      <c r="B314" s="40" t="str">
        <f>FanduelExcel!C230&amp;" "&amp;FanduelExcel!E230</f>
        <v>Rodney Stuckey</v>
      </c>
      <c r="C314">
        <v>24.3</v>
      </c>
      <c r="D314" s="40">
        <f>VLOOKUP(B314,FanduelExcelSub!$B$1:$C$434,2, FALSE)</f>
        <v>3500</v>
      </c>
      <c r="E314" s="40">
        <f>VLOOKUP(B314,MaxData!$A$1:$B$373, 2,FALSE)</f>
        <v>24.3</v>
      </c>
      <c r="F314" s="40">
        <f>VLOOKUP(B314,FanduelExcelSub!$B$1:$D$434,3, FALSE)</f>
        <v>0</v>
      </c>
    </row>
    <row r="315" spans="1:6" x14ac:dyDescent="0.25">
      <c r="A315" s="40" t="str">
        <f>FanduelExcel!B233</f>
        <v>PG</v>
      </c>
      <c r="B315" s="40" t="str">
        <f>FanduelExcel!C233&amp;" "&amp;FanduelExcel!E233</f>
        <v>Aaron Brooks</v>
      </c>
      <c r="C315">
        <v>0</v>
      </c>
      <c r="D315" s="40">
        <f>VLOOKUP(B315,FanduelExcelSub!$B$1:$C$434,2, FALSE)</f>
        <v>3500</v>
      </c>
      <c r="E315" s="40" t="e">
        <f>VLOOKUP(B315,MaxData!$A$1:$B$373, 2,FALSE)</f>
        <v>#N/A</v>
      </c>
      <c r="F315" s="40">
        <f>VLOOKUP(B315,FanduelExcelSub!$B$1:$D$434,3, FALSE)</f>
        <v>0</v>
      </c>
    </row>
    <row r="316" spans="1:6" x14ac:dyDescent="0.25">
      <c r="A316" s="40" t="str">
        <f>FanduelExcel!B235</f>
        <v>SG</v>
      </c>
      <c r="B316" s="40" t="str">
        <f>FanduelExcel!C235&amp;" "&amp;FanduelExcel!E235</f>
        <v>Troy Daniels</v>
      </c>
      <c r="C316">
        <v>17.600000000000001</v>
      </c>
      <c r="D316" s="40">
        <f>VLOOKUP(B316,FanduelExcelSub!$B$1:$C$434,2, FALSE)</f>
        <v>3500</v>
      </c>
      <c r="E316" s="40">
        <f>VLOOKUP(B316,MaxData!$A$1:$B$373, 2,FALSE)</f>
        <v>17.600000000000001</v>
      </c>
      <c r="F316" s="40">
        <f>VLOOKUP(B316,FanduelExcelSub!$B$1:$D$434,3, FALSE)</f>
        <v>0</v>
      </c>
    </row>
    <row r="317" spans="1:6" x14ac:dyDescent="0.25">
      <c r="A317" s="40" t="str">
        <f>FanduelExcel!B238</f>
        <v>SF</v>
      </c>
      <c r="B317" s="40" t="str">
        <f>FanduelExcel!C238&amp;" "&amp;FanduelExcel!E238</f>
        <v>Mike Dunleavy</v>
      </c>
      <c r="C317">
        <v>17.2</v>
      </c>
      <c r="D317" s="40">
        <f>VLOOKUP(B317,FanduelExcelSub!$B$1:$C$434,2, FALSE)</f>
        <v>3500</v>
      </c>
      <c r="E317" s="40">
        <f>VLOOKUP(B317,MaxData!$A$1:$B$373, 2,FALSE)</f>
        <v>17.2</v>
      </c>
      <c r="F317" s="40">
        <f>VLOOKUP(B317,FanduelExcelSub!$B$1:$D$434,3, FALSE)</f>
        <v>0</v>
      </c>
    </row>
    <row r="318" spans="1:6" x14ac:dyDescent="0.25">
      <c r="A318" s="40" t="str">
        <f>FanduelExcel!B241</f>
        <v>C</v>
      </c>
      <c r="B318" s="40" t="str">
        <f>FanduelExcel!C241&amp;" "&amp;FanduelExcel!E241</f>
        <v>Roy Hibbert</v>
      </c>
      <c r="C318">
        <v>0</v>
      </c>
      <c r="D318" s="40">
        <f>VLOOKUP(B318,FanduelExcelSub!$B$1:$C$434,2, FALSE)</f>
        <v>3500</v>
      </c>
      <c r="E318" s="40" t="e">
        <f>VLOOKUP(B318,MaxData!$A$1:$B$373, 2,FALSE)</f>
        <v>#N/A</v>
      </c>
      <c r="F318" s="40">
        <f>VLOOKUP(B318,FanduelExcelSub!$B$1:$D$434,3, FALSE)</f>
        <v>0</v>
      </c>
    </row>
    <row r="319" spans="1:6" x14ac:dyDescent="0.25">
      <c r="A319" s="40" t="str">
        <f>FanduelExcel!B247</f>
        <v>PF</v>
      </c>
      <c r="B319" s="40" t="str">
        <f>FanduelExcel!C247&amp;" "&amp;FanduelExcel!E247</f>
        <v>Jarell Martin</v>
      </c>
      <c r="C319">
        <v>0</v>
      </c>
      <c r="D319" s="40">
        <f>VLOOKUP(B319,FanduelExcelSub!$B$1:$C$434,2, FALSE)</f>
        <v>3500</v>
      </c>
      <c r="E319" s="40" t="e">
        <f>VLOOKUP(B319,MaxData!$A$1:$B$373, 2,FALSE)</f>
        <v>#N/A</v>
      </c>
      <c r="F319" s="40">
        <f>VLOOKUP(B319,FanduelExcelSub!$B$1:$D$434,3, FALSE)</f>
        <v>0</v>
      </c>
    </row>
    <row r="320" spans="1:6" x14ac:dyDescent="0.25">
      <c r="A320" s="40" t="str">
        <f>FanduelExcel!B250</f>
        <v>SF</v>
      </c>
      <c r="B320" s="40" t="str">
        <f>FanduelExcel!C250&amp;" "&amp;FanduelExcel!E250</f>
        <v>Jonathon Simmons</v>
      </c>
      <c r="C320">
        <v>25.8</v>
      </c>
      <c r="D320" s="40">
        <f>VLOOKUP(B320,FanduelExcelSub!$B$1:$C$434,2, FALSE)</f>
        <v>3500</v>
      </c>
      <c r="E320" s="40">
        <f>VLOOKUP(B320,MaxData!$A$1:$B$373, 2,FALSE)</f>
        <v>25.8</v>
      </c>
      <c r="F320" s="40">
        <f>VLOOKUP(B320,FanduelExcelSub!$B$1:$D$434,3, FALSE)</f>
        <v>0</v>
      </c>
    </row>
    <row r="321" spans="1:6" x14ac:dyDescent="0.25">
      <c r="A321" s="40" t="str">
        <f>FanduelExcel!B251</f>
        <v>PG</v>
      </c>
      <c r="B321" s="40" t="str">
        <f>FanduelExcel!C251&amp;" "&amp;FanduelExcel!E251</f>
        <v>Isaiah Whitehead</v>
      </c>
      <c r="C321">
        <v>23.7</v>
      </c>
      <c r="D321" s="40">
        <f>VLOOKUP(B321,FanduelExcelSub!$B$1:$C$434,2, FALSE)</f>
        <v>3500</v>
      </c>
      <c r="E321" s="40">
        <f>VLOOKUP(B321,MaxData!$A$1:$B$373, 2,FALSE)</f>
        <v>23.7</v>
      </c>
      <c r="F321" s="40">
        <f>VLOOKUP(B321,FanduelExcelSub!$B$1:$D$434,3, FALSE)</f>
        <v>0</v>
      </c>
    </row>
    <row r="322" spans="1:6" x14ac:dyDescent="0.25">
      <c r="A322" s="40" t="str">
        <f>FanduelExcel!B254</f>
        <v>SF</v>
      </c>
      <c r="B322" s="40" t="str">
        <f>FanduelExcel!C254&amp;" "&amp;FanduelExcel!E254</f>
        <v>Derrick Jones Jr.</v>
      </c>
      <c r="C322">
        <v>0</v>
      </c>
      <c r="D322" s="40">
        <f>VLOOKUP(B322,FanduelExcelSub!$B$1:$C$434,2, FALSE)</f>
        <v>3500</v>
      </c>
      <c r="E322" s="40" t="e">
        <f>VLOOKUP(B322,MaxData!$A$1:$B$373, 2,FALSE)</f>
        <v>#N/A</v>
      </c>
      <c r="F322" s="40">
        <f>VLOOKUP(B322,FanduelExcelSub!$B$1:$D$434,3, FALSE)</f>
        <v>0</v>
      </c>
    </row>
    <row r="323" spans="1:6" x14ac:dyDescent="0.25">
      <c r="A323" s="40" t="str">
        <f>FanduelExcel!B255</f>
        <v>PF</v>
      </c>
      <c r="B323" s="40" t="str">
        <f>FanduelExcel!C255&amp;" "&amp;FanduelExcel!E255</f>
        <v>David West</v>
      </c>
      <c r="C323">
        <v>0</v>
      </c>
      <c r="D323" s="40">
        <f>VLOOKUP(B323,FanduelExcelSub!$B$1:$C$434,2, FALSE)</f>
        <v>3500</v>
      </c>
      <c r="E323" s="40" t="e">
        <f>VLOOKUP(B323,MaxData!$A$1:$B$373, 2,FALSE)</f>
        <v>#N/A</v>
      </c>
      <c r="F323" s="40" t="str">
        <f>VLOOKUP(B323,FanduelExcelSub!$B$1:$D$434,3, FALSE)</f>
        <v>O</v>
      </c>
    </row>
    <row r="324" spans="1:6" x14ac:dyDescent="0.25">
      <c r="A324" s="40" t="str">
        <f>FanduelExcel!B257</f>
        <v>SG</v>
      </c>
      <c r="B324" s="40" t="str">
        <f>FanduelExcel!C257&amp;" "&amp;FanduelExcel!E257</f>
        <v>Leandro Barbosa</v>
      </c>
      <c r="C324">
        <v>21.4</v>
      </c>
      <c r="D324" s="40">
        <f>VLOOKUP(B324,FanduelExcelSub!$B$1:$C$434,2, FALSE)</f>
        <v>3500</v>
      </c>
      <c r="E324" s="40">
        <f>VLOOKUP(B324,MaxData!$A$1:$B$373, 2,FALSE)</f>
        <v>21.4</v>
      </c>
      <c r="F324" s="40">
        <f>VLOOKUP(B324,FanduelExcelSub!$B$1:$D$434,3, FALSE)</f>
        <v>0</v>
      </c>
    </row>
    <row r="325" spans="1:6" x14ac:dyDescent="0.25">
      <c r="A325" s="40" t="str">
        <f>FanduelExcel!B258</f>
        <v>PG</v>
      </c>
      <c r="B325" s="40" t="str">
        <f>FanduelExcel!C258&amp;" "&amp;FanduelExcel!E258</f>
        <v>Marcelo Huertas</v>
      </c>
      <c r="C325">
        <v>0</v>
      </c>
      <c r="D325" s="40">
        <f>VLOOKUP(B325,FanduelExcelSub!$B$1:$C$434,2, FALSE)</f>
        <v>3500</v>
      </c>
      <c r="E325" s="40" t="e">
        <f>VLOOKUP(B325,MaxData!$A$1:$B$373, 2,FALSE)</f>
        <v>#N/A</v>
      </c>
      <c r="F325" s="40">
        <f>VLOOKUP(B325,FanduelExcelSub!$B$1:$D$434,3, FALSE)</f>
        <v>0</v>
      </c>
    </row>
    <row r="326" spans="1:6" x14ac:dyDescent="0.25">
      <c r="A326" s="40" t="str">
        <f>FanduelExcel!B260</f>
        <v>SG</v>
      </c>
      <c r="B326" s="40" t="str">
        <f>FanduelExcel!C260&amp;" "&amp;FanduelExcel!E260</f>
        <v>Darrun Hilliard</v>
      </c>
      <c r="C326">
        <v>0</v>
      </c>
      <c r="D326" s="40">
        <f>VLOOKUP(B326,FanduelExcelSub!$B$1:$C$434,2, FALSE)</f>
        <v>3500</v>
      </c>
      <c r="E326" s="40" t="e">
        <f>VLOOKUP(B326,MaxData!$A$1:$B$373, 2,FALSE)</f>
        <v>#N/A</v>
      </c>
      <c r="F326" s="40">
        <f>VLOOKUP(B326,FanduelExcelSub!$B$1:$D$434,3, FALSE)</f>
        <v>0</v>
      </c>
    </row>
    <row r="327" spans="1:6" x14ac:dyDescent="0.25">
      <c r="A327" s="40" t="str">
        <f>FanduelExcel!B261</f>
        <v>PG</v>
      </c>
      <c r="B327" s="40" t="str">
        <f>FanduelExcel!C261&amp;" "&amp;FanduelExcel!E261</f>
        <v>Beno Udrih</v>
      </c>
      <c r="C327">
        <v>0</v>
      </c>
      <c r="D327" s="40">
        <f>VLOOKUP(B327,FanduelExcelSub!$B$1:$C$434,2, FALSE)</f>
        <v>3500</v>
      </c>
      <c r="E327" s="40" t="e">
        <f>VLOOKUP(B327,MaxData!$A$1:$B$373, 2,FALSE)</f>
        <v>#N/A</v>
      </c>
      <c r="F327" s="40">
        <f>VLOOKUP(B327,FanduelExcelSub!$B$1:$D$434,3, FALSE)</f>
        <v>0</v>
      </c>
    </row>
    <row r="328" spans="1:6" x14ac:dyDescent="0.25">
      <c r="A328" s="40" t="str">
        <f>FanduelExcel!B262</f>
        <v>SG</v>
      </c>
      <c r="B328" s="40" t="str">
        <f>FanduelExcel!C262&amp;" "&amp;FanduelExcel!E262</f>
        <v>Denzel Valentine</v>
      </c>
      <c r="C328">
        <v>12.3</v>
      </c>
      <c r="D328" s="40">
        <f>VLOOKUP(B328,FanduelExcelSub!$B$1:$C$434,2, FALSE)</f>
        <v>3500</v>
      </c>
      <c r="E328" s="40">
        <f>VLOOKUP(B328,MaxData!$A$1:$B$373, 2,FALSE)</f>
        <v>12.3</v>
      </c>
      <c r="F328" s="40">
        <f>VLOOKUP(B328,FanduelExcelSub!$B$1:$D$434,3, FALSE)</f>
        <v>0</v>
      </c>
    </row>
    <row r="329" spans="1:6" x14ac:dyDescent="0.25">
      <c r="A329" s="40" t="str">
        <f>FanduelExcel!B263</f>
        <v>PG</v>
      </c>
      <c r="B329" s="40" t="str">
        <f>FanduelExcel!C263&amp;" "&amp;FanduelExcel!E263</f>
        <v>Trey Burke</v>
      </c>
      <c r="C329">
        <v>18.8</v>
      </c>
      <c r="D329" s="40">
        <f>VLOOKUP(B329,FanduelExcelSub!$B$1:$C$434,2, FALSE)</f>
        <v>3500</v>
      </c>
      <c r="E329" s="40">
        <f>VLOOKUP(B329,MaxData!$A$1:$B$373, 2,FALSE)</f>
        <v>18.8</v>
      </c>
      <c r="F329" s="40">
        <f>VLOOKUP(B329,FanduelExcelSub!$B$1:$D$434,3, FALSE)</f>
        <v>0</v>
      </c>
    </row>
    <row r="330" spans="1:6" x14ac:dyDescent="0.25">
      <c r="A330" s="40" t="str">
        <f>FanduelExcel!B265</f>
        <v>SG</v>
      </c>
      <c r="B330" s="40" t="str">
        <f>FanduelExcel!C265&amp;" "&amp;FanduelExcel!E265</f>
        <v>Manu Ginobili</v>
      </c>
      <c r="C330">
        <v>19.2</v>
      </c>
      <c r="D330" s="40">
        <f>VLOOKUP(B330,FanduelExcelSub!$B$1:$C$434,2, FALSE)</f>
        <v>3500</v>
      </c>
      <c r="E330" s="40">
        <f>VLOOKUP(B330,MaxData!$A$1:$B$373, 2,FALSE)</f>
        <v>19.2</v>
      </c>
      <c r="F330" s="40">
        <f>VLOOKUP(B330,FanduelExcelSub!$B$1:$D$434,3, FALSE)</f>
        <v>0</v>
      </c>
    </row>
    <row r="331" spans="1:6" x14ac:dyDescent="0.25">
      <c r="A331" s="40" t="str">
        <f>FanduelExcel!B266</f>
        <v>SG</v>
      </c>
      <c r="B331" s="40" t="str">
        <f>FanduelExcel!C266&amp;" "&amp;FanduelExcel!E266</f>
        <v>Joe Harris</v>
      </c>
      <c r="C331">
        <v>21.4</v>
      </c>
      <c r="D331" s="40">
        <f>VLOOKUP(B331,FanduelExcelSub!$B$1:$C$434,2, FALSE)</f>
        <v>3500</v>
      </c>
      <c r="E331" s="40">
        <f>VLOOKUP(B331,MaxData!$A$1:$B$373, 2,FALSE)</f>
        <v>21.4</v>
      </c>
      <c r="F331" s="40">
        <f>VLOOKUP(B331,FanduelExcelSub!$B$1:$D$434,3, FALSE)</f>
        <v>0</v>
      </c>
    </row>
    <row r="332" spans="1:6" x14ac:dyDescent="0.25">
      <c r="A332" s="40" t="str">
        <f>FanduelExcel!B267</f>
        <v>SF</v>
      </c>
      <c r="B332" s="40" t="str">
        <f>FanduelExcel!C267&amp;" "&amp;FanduelExcel!E267</f>
        <v>Stanley Johnson</v>
      </c>
      <c r="C332">
        <v>20</v>
      </c>
      <c r="D332" s="40">
        <f>VLOOKUP(B332,FanduelExcelSub!$B$1:$C$434,2, FALSE)</f>
        <v>3500</v>
      </c>
      <c r="E332" s="40">
        <f>VLOOKUP(B332,MaxData!$A$1:$B$373, 2,FALSE)</f>
        <v>20</v>
      </c>
      <c r="F332" s="40">
        <f>VLOOKUP(B332,FanduelExcelSub!$B$1:$D$434,3, FALSE)</f>
        <v>0</v>
      </c>
    </row>
    <row r="333" spans="1:6" x14ac:dyDescent="0.25">
      <c r="A333" s="40" t="str">
        <f>FanduelExcel!B268</f>
        <v>PG</v>
      </c>
      <c r="B333" s="40" t="str">
        <f>FanduelExcel!C268&amp;" "&amp;FanduelExcel!E268</f>
        <v>Jose Calderon</v>
      </c>
      <c r="C333">
        <v>0</v>
      </c>
      <c r="D333" s="40">
        <f>VLOOKUP(B333,FanduelExcelSub!$B$1:$C$434,2, FALSE)</f>
        <v>3500</v>
      </c>
      <c r="E333" s="40" t="e">
        <f>VLOOKUP(B333,MaxData!$A$1:$B$373, 2,FALSE)</f>
        <v>#N/A</v>
      </c>
      <c r="F333" s="40">
        <f>VLOOKUP(B333,FanduelExcelSub!$B$1:$D$434,3, FALSE)</f>
        <v>0</v>
      </c>
    </row>
    <row r="334" spans="1:6" x14ac:dyDescent="0.25">
      <c r="A334" s="40" t="str">
        <f>FanduelExcel!B270</f>
        <v>C</v>
      </c>
      <c r="B334" s="40" t="str">
        <f>FanduelExcel!C270&amp;" "&amp;FanduelExcel!E270</f>
        <v>Cristiano Felicio</v>
      </c>
      <c r="C334">
        <v>22.7</v>
      </c>
      <c r="D334" s="40">
        <f>VLOOKUP(B334,FanduelExcelSub!$B$1:$C$434,2, FALSE)</f>
        <v>3500</v>
      </c>
      <c r="E334" s="40">
        <f>VLOOKUP(B334,MaxData!$A$1:$B$373, 2,FALSE)</f>
        <v>22.7</v>
      </c>
      <c r="F334" s="40">
        <f>VLOOKUP(B334,FanduelExcelSub!$B$1:$D$434,3, FALSE)</f>
        <v>0</v>
      </c>
    </row>
    <row r="335" spans="1:6" x14ac:dyDescent="0.25">
      <c r="A335" s="40" t="str">
        <f>FanduelExcel!B273</f>
        <v>PF</v>
      </c>
      <c r="B335" s="40" t="str">
        <f>FanduelExcel!C273&amp;" "&amp;FanduelExcel!E273</f>
        <v>Dragan Bender</v>
      </c>
      <c r="C335">
        <v>0</v>
      </c>
      <c r="D335" s="40">
        <f>VLOOKUP(B335,FanduelExcelSub!$B$1:$C$434,2, FALSE)</f>
        <v>3500</v>
      </c>
      <c r="E335" s="40" t="e">
        <f>VLOOKUP(B335,MaxData!$A$1:$B$373, 2,FALSE)</f>
        <v>#N/A</v>
      </c>
      <c r="F335" s="40" t="str">
        <f>VLOOKUP(B335,FanduelExcelSub!$B$1:$D$434,3, FALSE)</f>
        <v>O</v>
      </c>
    </row>
    <row r="336" spans="1:6" x14ac:dyDescent="0.25">
      <c r="A336" s="40" t="str">
        <f>FanduelExcel!B275</f>
        <v>C</v>
      </c>
      <c r="B336" s="40" t="str">
        <f>FanduelExcel!C275&amp;" "&amp;FanduelExcel!E275</f>
        <v>Georgios Papagiannis</v>
      </c>
      <c r="C336">
        <v>0</v>
      </c>
      <c r="D336" s="40">
        <f>VLOOKUP(B336,FanduelExcelSub!$B$1:$C$434,2, FALSE)</f>
        <v>3500</v>
      </c>
      <c r="E336" s="40" t="e">
        <f>VLOOKUP(B336,MaxData!$A$1:$B$373, 2,FALSE)</f>
        <v>#N/A</v>
      </c>
      <c r="F336" s="40">
        <f>VLOOKUP(B336,FanduelExcelSub!$B$1:$D$434,3, FALSE)</f>
        <v>0</v>
      </c>
    </row>
    <row r="337" spans="1:6" x14ac:dyDescent="0.25">
      <c r="A337" s="40" t="str">
        <f>FanduelExcel!B277</f>
        <v>SG</v>
      </c>
      <c r="B337" s="40" t="str">
        <f>FanduelExcel!C277&amp;" "&amp;FanduelExcel!E277</f>
        <v>Timothe Luwawu-Cabarrot</v>
      </c>
      <c r="C337">
        <v>0</v>
      </c>
      <c r="D337" s="40">
        <f>VLOOKUP(B337,FanduelExcelSub!$B$1:$C$434,2, FALSE)</f>
        <v>3500</v>
      </c>
      <c r="E337" s="40" t="e">
        <f>VLOOKUP(B337,MaxData!$A$1:$B$373, 2,FALSE)</f>
        <v>#N/A</v>
      </c>
      <c r="F337" s="40">
        <f>VLOOKUP(B337,FanduelExcelSub!$B$1:$D$434,3, FALSE)</f>
        <v>0</v>
      </c>
    </row>
    <row r="338" spans="1:6" x14ac:dyDescent="0.25">
      <c r="A338" s="40" t="str">
        <f>FanduelExcel!B279</f>
        <v>SG</v>
      </c>
      <c r="B338" s="40" t="str">
        <f>FanduelExcel!C279&amp;" "&amp;FanduelExcel!E279</f>
        <v>K.J. McDaniels</v>
      </c>
      <c r="C338">
        <v>0</v>
      </c>
      <c r="D338" s="40">
        <f>VLOOKUP(B338,FanduelExcelSub!$B$1:$C$434,2, FALSE)</f>
        <v>3500</v>
      </c>
      <c r="E338" s="40" t="e">
        <f>VLOOKUP(B338,MaxData!$A$1:$B$373, 2,FALSE)</f>
        <v>#N/A</v>
      </c>
      <c r="F338" s="40">
        <f>VLOOKUP(B338,FanduelExcelSub!$B$1:$D$434,3, FALSE)</f>
        <v>0</v>
      </c>
    </row>
    <row r="339" spans="1:6" x14ac:dyDescent="0.25">
      <c r="A339" s="40" t="str">
        <f>FanduelExcel!B282</f>
        <v>SF</v>
      </c>
      <c r="B339" s="40" t="str">
        <f>FanduelExcel!C282&amp;" "&amp;FanduelExcel!E282</f>
        <v>DeAndre' Bembry</v>
      </c>
      <c r="C339">
        <v>0</v>
      </c>
      <c r="D339" s="40">
        <f>VLOOKUP(B339,FanduelExcelSub!$B$1:$C$434,2, FALSE)</f>
        <v>3600</v>
      </c>
      <c r="E339" s="40" t="e">
        <f>VLOOKUP(B339,MaxData!$A$1:$B$373, 2,FALSE)</f>
        <v>#N/A</v>
      </c>
      <c r="F339" s="40">
        <f>VLOOKUP(B339,FanduelExcelSub!$B$1:$D$434,3, FALSE)</f>
        <v>0</v>
      </c>
    </row>
    <row r="340" spans="1:6" x14ac:dyDescent="0.25">
      <c r="A340" s="40" t="str">
        <f>FanduelExcel!B283</f>
        <v>SF</v>
      </c>
      <c r="B340" s="40" t="str">
        <f>FanduelExcel!C283&amp;" "&amp;FanduelExcel!E283</f>
        <v>Justin Anderson</v>
      </c>
      <c r="C340">
        <v>0</v>
      </c>
      <c r="D340" s="40">
        <f>VLOOKUP(B340,FanduelExcelSub!$B$1:$C$434,2, FALSE)</f>
        <v>3500</v>
      </c>
      <c r="E340" s="40" t="e">
        <f>VLOOKUP(B340,MaxData!$A$1:$B$373, 2,FALSE)</f>
        <v>#N/A</v>
      </c>
      <c r="F340" s="40">
        <f>VLOOKUP(B340,FanduelExcelSub!$B$1:$D$434,3, FALSE)</f>
        <v>0</v>
      </c>
    </row>
    <row r="341" spans="1:6" x14ac:dyDescent="0.25">
      <c r="A341" s="40" t="str">
        <f>FanduelExcel!B286</f>
        <v>PG</v>
      </c>
      <c r="B341" s="40" t="str">
        <f>FanduelExcel!C286&amp;" "&amp;FanduelExcel!E286</f>
        <v>Shelvin Mack</v>
      </c>
      <c r="C341">
        <v>0</v>
      </c>
      <c r="D341" s="40">
        <f>VLOOKUP(B341,FanduelExcelSub!$B$1:$C$434,2, FALSE)</f>
        <v>3500</v>
      </c>
      <c r="E341" s="40" t="e">
        <f>VLOOKUP(B341,MaxData!$A$1:$B$373, 2,FALSE)</f>
        <v>#N/A</v>
      </c>
      <c r="F341" s="40">
        <f>VLOOKUP(B341,FanduelExcelSub!$B$1:$D$434,3, FALSE)</f>
        <v>0</v>
      </c>
    </row>
    <row r="342" spans="1:6" x14ac:dyDescent="0.25">
      <c r="A342" s="40" t="str">
        <f>FanduelExcel!B287</f>
        <v>C</v>
      </c>
      <c r="B342" s="40" t="str">
        <f>FanduelExcel!C287&amp;" "&amp;FanduelExcel!E287</f>
        <v>Mike Tobey</v>
      </c>
      <c r="C342">
        <v>0</v>
      </c>
      <c r="D342" s="40">
        <f>VLOOKUP(B342,FanduelExcelSub!$B$1:$C$434,2, FALSE)</f>
        <v>3500</v>
      </c>
      <c r="E342" s="40" t="e">
        <f>VLOOKUP(B342,MaxData!$A$1:$B$373, 2,FALSE)</f>
        <v>#N/A</v>
      </c>
      <c r="F342" s="40">
        <f>VLOOKUP(B342,FanduelExcelSub!$B$1:$D$434,3, FALSE)</f>
        <v>0</v>
      </c>
    </row>
    <row r="343" spans="1:6" x14ac:dyDescent="0.25">
      <c r="A343" s="40" t="str">
        <f>FanduelExcel!B294</f>
        <v>SG</v>
      </c>
      <c r="B343" s="40" t="str">
        <f>FanduelExcel!C294&amp;" "&amp;FanduelExcel!E294</f>
        <v>Michael Gbinije</v>
      </c>
      <c r="C343">
        <v>0</v>
      </c>
      <c r="D343" s="40">
        <f>VLOOKUP(B343,FanduelExcelSub!$B$1:$C$434,2, FALSE)</f>
        <v>3500</v>
      </c>
      <c r="E343" s="40" t="e">
        <f>VLOOKUP(B343,MaxData!$A$1:$B$373, 2,FALSE)</f>
        <v>#N/A</v>
      </c>
      <c r="F343" s="40">
        <f>VLOOKUP(B343,FanduelExcelSub!$B$1:$D$434,3, FALSE)</f>
        <v>0</v>
      </c>
    </row>
    <row r="344" spans="1:6" x14ac:dyDescent="0.25">
      <c r="A344" s="40" t="str">
        <f>FanduelExcel!B295</f>
        <v>SF</v>
      </c>
      <c r="B344" s="40" t="str">
        <f>FanduelExcel!C295&amp;" "&amp;FanduelExcel!E295</f>
        <v>Ryan Kelly</v>
      </c>
      <c r="C344">
        <v>0</v>
      </c>
      <c r="D344" s="40">
        <f>VLOOKUP(B344,FanduelExcelSub!$B$1:$C$434,2, FALSE)</f>
        <v>3500</v>
      </c>
      <c r="E344" s="40" t="e">
        <f>VLOOKUP(B344,MaxData!$A$1:$B$373, 2,FALSE)</f>
        <v>#N/A</v>
      </c>
      <c r="F344" s="40">
        <f>VLOOKUP(B344,FanduelExcelSub!$B$1:$D$434,3, FALSE)</f>
        <v>0</v>
      </c>
    </row>
    <row r="345" spans="1:6" x14ac:dyDescent="0.25">
      <c r="A345" s="40" t="str">
        <f>FanduelExcel!B296</f>
        <v>PF</v>
      </c>
      <c r="B345" s="40" t="str">
        <f>FanduelExcel!C296&amp;" "&amp;FanduelExcel!E296</f>
        <v>Jake Layman</v>
      </c>
      <c r="C345">
        <v>0</v>
      </c>
      <c r="D345" s="40">
        <f>VLOOKUP(B345,FanduelExcelSub!$B$1:$C$434,2, FALSE)</f>
        <v>3500</v>
      </c>
      <c r="E345" s="40" t="e">
        <f>VLOOKUP(B345,MaxData!$A$1:$B$373, 2,FALSE)</f>
        <v>#N/A</v>
      </c>
      <c r="F345" s="40">
        <f>VLOOKUP(B345,FanduelExcelSub!$B$1:$D$434,3, FALSE)</f>
        <v>0</v>
      </c>
    </row>
    <row r="346" spans="1:6" x14ac:dyDescent="0.25">
      <c r="A346" s="40" t="str">
        <f>FanduelExcel!B297</f>
        <v>C</v>
      </c>
      <c r="B346" s="40" t="str">
        <f>FanduelExcel!C297&amp;" "&amp;FanduelExcel!E297</f>
        <v>Marshall Plumlee</v>
      </c>
      <c r="C346">
        <v>0</v>
      </c>
      <c r="D346" s="40">
        <f>VLOOKUP(B346,FanduelExcelSub!$B$1:$C$434,2, FALSE)</f>
        <v>3500</v>
      </c>
      <c r="E346" s="40" t="e">
        <f>VLOOKUP(B346,MaxData!$A$1:$B$373, 2,FALSE)</f>
        <v>#N/A</v>
      </c>
      <c r="F346" s="40">
        <f>VLOOKUP(B346,FanduelExcelSub!$B$1:$D$434,3, FALSE)</f>
        <v>0</v>
      </c>
    </row>
    <row r="347" spans="1:6" x14ac:dyDescent="0.25">
      <c r="A347" s="40" t="str">
        <f>FanduelExcel!B298</f>
        <v>C</v>
      </c>
      <c r="B347" s="40" t="str">
        <f>FanduelExcel!C298&amp;" "&amp;FanduelExcel!E298</f>
        <v>Miles Plumlee</v>
      </c>
      <c r="C347">
        <v>0</v>
      </c>
      <c r="D347" s="40">
        <f>VLOOKUP(B347,FanduelExcelSub!$B$1:$C$434,2, FALSE)</f>
        <v>3500</v>
      </c>
      <c r="E347" s="40" t="e">
        <f>VLOOKUP(B347,MaxData!$A$1:$B$373, 2,FALSE)</f>
        <v>#N/A</v>
      </c>
      <c r="F347" s="40" t="str">
        <f>VLOOKUP(B347,FanduelExcelSub!$B$1:$D$434,3, FALSE)</f>
        <v>O</v>
      </c>
    </row>
    <row r="348" spans="1:6" x14ac:dyDescent="0.25">
      <c r="A348" s="40" t="str">
        <f>FanduelExcel!B299</f>
        <v>SG</v>
      </c>
      <c r="B348" s="40" t="str">
        <f>FanduelExcel!C299&amp;" "&amp;FanduelExcel!E299</f>
        <v>Bryn Forbes</v>
      </c>
      <c r="C348">
        <v>0</v>
      </c>
      <c r="D348" s="40">
        <f>VLOOKUP(B348,FanduelExcelSub!$B$1:$C$434,2, FALSE)</f>
        <v>3500</v>
      </c>
      <c r="E348" s="40" t="e">
        <f>VLOOKUP(B348,MaxData!$A$1:$B$373, 2,FALSE)</f>
        <v>#N/A</v>
      </c>
      <c r="F348" s="40">
        <f>VLOOKUP(B348,FanduelExcelSub!$B$1:$D$434,3, FALSE)</f>
        <v>0</v>
      </c>
    </row>
    <row r="349" spans="1:6" x14ac:dyDescent="0.25">
      <c r="A349" s="40" t="str">
        <f>FanduelExcel!B300</f>
        <v>SF</v>
      </c>
      <c r="B349" s="40" t="str">
        <f>FanduelExcel!C300&amp;" "&amp;FanduelExcel!E300</f>
        <v>Paul Pierce</v>
      </c>
      <c r="C349">
        <v>0</v>
      </c>
      <c r="D349" s="40">
        <f>VLOOKUP(B349,FanduelExcelSub!$B$1:$C$434,2, FALSE)</f>
        <v>3500</v>
      </c>
      <c r="E349" s="40" t="e">
        <f>VLOOKUP(B349,MaxData!$A$1:$B$373, 2,FALSE)</f>
        <v>#N/A</v>
      </c>
      <c r="F349" s="40">
        <f>VLOOKUP(B349,FanduelExcelSub!$B$1:$D$434,3, FALSE)</f>
        <v>0</v>
      </c>
    </row>
    <row r="350" spans="1:6" x14ac:dyDescent="0.25">
      <c r="A350" s="40" t="str">
        <f>FanduelExcel!B307</f>
        <v>PG</v>
      </c>
      <c r="B350" s="40" t="str">
        <f>FanduelExcel!C307&amp;" "&amp;FanduelExcel!E307</f>
        <v>Archie Goodwin</v>
      </c>
      <c r="C350">
        <v>0</v>
      </c>
      <c r="D350" s="40">
        <f>VLOOKUP(B350,FanduelExcelSub!$B$1:$C$434,2, FALSE)</f>
        <v>3500</v>
      </c>
      <c r="E350" s="40" t="e">
        <f>VLOOKUP(B350,MaxData!$A$1:$B$373, 2,FALSE)</f>
        <v>#N/A</v>
      </c>
      <c r="F350" s="40">
        <f>VLOOKUP(B350,FanduelExcelSub!$B$1:$D$434,3, FALSE)</f>
        <v>0</v>
      </c>
    </row>
    <row r="351" spans="1:6" x14ac:dyDescent="0.25">
      <c r="A351" s="40" t="str">
        <f>FanduelExcel!B308</f>
        <v>PG</v>
      </c>
      <c r="B351" s="40" t="str">
        <f>FanduelExcel!C308&amp;" "&amp;FanduelExcel!E308</f>
        <v>Raul Neto</v>
      </c>
      <c r="C351">
        <v>0</v>
      </c>
      <c r="D351" s="40">
        <f>VLOOKUP(B351,FanduelExcelSub!$B$1:$C$434,2, FALSE)</f>
        <v>3500</v>
      </c>
      <c r="E351" s="40" t="e">
        <f>VLOOKUP(B351,MaxData!$A$1:$B$373, 2,FALSE)</f>
        <v>#N/A</v>
      </c>
      <c r="F351" s="40">
        <f>VLOOKUP(B351,FanduelExcelSub!$B$1:$D$434,3, FALSE)</f>
        <v>0</v>
      </c>
    </row>
    <row r="352" spans="1:6" x14ac:dyDescent="0.25">
      <c r="A352" s="40" t="str">
        <f>FanduelExcel!B309</f>
        <v>C</v>
      </c>
      <c r="B352" s="40" t="str">
        <f>FanduelExcel!C309&amp;" "&amp;FanduelExcel!E309</f>
        <v>Anderson Varejao</v>
      </c>
      <c r="C352">
        <v>0</v>
      </c>
      <c r="D352" s="40">
        <f>VLOOKUP(B352,FanduelExcelSub!$B$1:$C$434,2, FALSE)</f>
        <v>3500</v>
      </c>
      <c r="E352" s="40" t="e">
        <f>VLOOKUP(B352,MaxData!$A$1:$B$373, 2,FALSE)</f>
        <v>#N/A</v>
      </c>
      <c r="F352" s="40">
        <f>VLOOKUP(B352,FanduelExcelSub!$B$1:$D$434,3, FALSE)</f>
        <v>0</v>
      </c>
    </row>
    <row r="353" spans="1:6" x14ac:dyDescent="0.25">
      <c r="A353" s="40" t="str">
        <f>FanduelExcel!B312</f>
        <v>SG</v>
      </c>
      <c r="B353" s="40" t="str">
        <f>FanduelExcel!C312&amp;" "&amp;FanduelExcel!E312</f>
        <v>J.R. Smith</v>
      </c>
      <c r="C353">
        <v>0</v>
      </c>
      <c r="D353" s="40">
        <f>VLOOKUP(B353,FanduelExcelSub!$B$1:$C$434,2, FALSE)</f>
        <v>3500</v>
      </c>
      <c r="E353" s="40" t="e">
        <f>VLOOKUP(B353,MaxData!$A$1:$B$373, 2,FALSE)</f>
        <v>#N/A</v>
      </c>
      <c r="F353" s="40" t="str">
        <f>VLOOKUP(B353,FanduelExcelSub!$B$1:$D$434,3, FALSE)</f>
        <v>O</v>
      </c>
    </row>
    <row r="354" spans="1:6" x14ac:dyDescent="0.25">
      <c r="A354" s="40" t="str">
        <f>FanduelExcel!B315</f>
        <v>PG</v>
      </c>
      <c r="B354" s="40" t="str">
        <f>FanduelExcel!C315&amp;" "&amp;FanduelExcel!E315</f>
        <v>Demetrius Jackson</v>
      </c>
      <c r="C354">
        <v>0</v>
      </c>
      <c r="D354" s="40">
        <f>VLOOKUP(B354,FanduelExcelSub!$B$1:$C$434,2, FALSE)</f>
        <v>3500</v>
      </c>
      <c r="E354" s="40" t="e">
        <f>VLOOKUP(B354,MaxData!$A$1:$B$373, 2,FALSE)</f>
        <v>#N/A</v>
      </c>
      <c r="F354" s="40">
        <f>VLOOKUP(B354,FanduelExcelSub!$B$1:$D$434,3, FALSE)</f>
        <v>0</v>
      </c>
    </row>
    <row r="355" spans="1:6" x14ac:dyDescent="0.25">
      <c r="A355" s="40" t="str">
        <f>FanduelExcel!B317</f>
        <v>PG</v>
      </c>
      <c r="B355" s="40" t="str">
        <f>FanduelExcel!C317&amp;" "&amp;FanduelExcel!E317</f>
        <v>Aaron Brooks</v>
      </c>
      <c r="C355">
        <v>0</v>
      </c>
      <c r="D355" s="40">
        <f>VLOOKUP(B355,FanduelExcelSub!$B$1:$C$434,2, FALSE)</f>
        <v>3500</v>
      </c>
      <c r="E355" s="40" t="e">
        <f>VLOOKUP(B355,MaxData!$A$1:$B$373, 2,FALSE)</f>
        <v>#N/A</v>
      </c>
      <c r="F355" s="40">
        <f>VLOOKUP(B355,FanduelExcelSub!$B$1:$D$434,3, FALSE)</f>
        <v>0</v>
      </c>
    </row>
    <row r="356" spans="1:6" x14ac:dyDescent="0.25">
      <c r="A356" s="40" t="str">
        <f>FanduelExcel!B320</f>
        <v>SF</v>
      </c>
      <c r="B356" s="40" t="str">
        <f>FanduelExcel!C320&amp;" "&amp;FanduelExcel!E320</f>
        <v>Treveon Graham</v>
      </c>
      <c r="C356">
        <v>0</v>
      </c>
      <c r="D356" s="40">
        <f>VLOOKUP(B356,FanduelExcelSub!$B$1:$C$434,2, FALSE)</f>
        <v>3500</v>
      </c>
      <c r="E356" s="40" t="e">
        <f>VLOOKUP(B356,MaxData!$A$1:$B$373, 2,FALSE)</f>
        <v>#N/A</v>
      </c>
      <c r="F356" s="40">
        <f>VLOOKUP(B356,FanduelExcelSub!$B$1:$D$434,3, FALSE)</f>
        <v>0</v>
      </c>
    </row>
    <row r="357" spans="1:6" x14ac:dyDescent="0.25">
      <c r="A357" s="40" t="str">
        <f>FanduelExcel!B323</f>
        <v>C</v>
      </c>
      <c r="B357" s="40" t="str">
        <f>FanduelExcel!C323&amp;" "&amp;FanduelExcel!E323</f>
        <v>Roy Hibbert</v>
      </c>
      <c r="C357">
        <v>0</v>
      </c>
      <c r="D357" s="40">
        <f>VLOOKUP(B357,FanduelExcelSub!$B$1:$C$434,2, FALSE)</f>
        <v>3500</v>
      </c>
      <c r="E357" s="40" t="e">
        <f>VLOOKUP(B357,MaxData!$A$1:$B$373, 2,FALSE)</f>
        <v>#N/A</v>
      </c>
      <c r="F357" s="40">
        <f>VLOOKUP(B357,FanduelExcelSub!$B$1:$D$434,3, FALSE)</f>
        <v>0</v>
      </c>
    </row>
    <row r="358" spans="1:6" x14ac:dyDescent="0.25">
      <c r="A358" s="40" t="str">
        <f>FanduelExcel!B324</f>
        <v>C</v>
      </c>
      <c r="B358" s="40" t="str">
        <f>FanduelExcel!C324&amp;" "&amp;FanduelExcel!E324</f>
        <v>Boban Marjanovic</v>
      </c>
      <c r="C358">
        <v>0</v>
      </c>
      <c r="D358" s="40">
        <f>VLOOKUP(B358,FanduelExcelSub!$B$1:$C$434,2, FALSE)</f>
        <v>3500</v>
      </c>
      <c r="E358" s="40" t="e">
        <f>VLOOKUP(B358,MaxData!$A$1:$B$373, 2,FALSE)</f>
        <v>#N/A</v>
      </c>
      <c r="F358" s="40">
        <f>VLOOKUP(B358,FanduelExcelSub!$B$1:$D$434,3, FALSE)</f>
        <v>0</v>
      </c>
    </row>
    <row r="359" spans="1:6" x14ac:dyDescent="0.25">
      <c r="A359" s="40" t="str">
        <f>FanduelExcel!B325</f>
        <v>SG</v>
      </c>
      <c r="B359" s="40" t="str">
        <f>FanduelExcel!C325&amp;" "&amp;FanduelExcel!E325</f>
        <v>Sasha Vujacic</v>
      </c>
      <c r="C359">
        <v>0</v>
      </c>
      <c r="D359" s="40">
        <f>VLOOKUP(B359,FanduelExcelSub!$B$1:$C$434,2, FALSE)</f>
        <v>3500</v>
      </c>
      <c r="E359" s="40" t="e">
        <f>VLOOKUP(B359,MaxData!$A$1:$B$373, 2,FALSE)</f>
        <v>#N/A</v>
      </c>
      <c r="F359" s="40">
        <f>VLOOKUP(B359,FanduelExcelSub!$B$1:$D$434,3, FALSE)</f>
        <v>0</v>
      </c>
    </row>
    <row r="360" spans="1:6" x14ac:dyDescent="0.25">
      <c r="A360" s="40" t="str">
        <f>FanduelExcel!B326</f>
        <v>SF</v>
      </c>
      <c r="B360" s="40" t="str">
        <f>FanduelExcel!C326&amp;" "&amp;FanduelExcel!E326</f>
        <v>Metta World Peace</v>
      </c>
      <c r="C360">
        <v>0</v>
      </c>
      <c r="D360" s="40">
        <f>VLOOKUP(B360,FanduelExcelSub!$B$1:$C$434,2, FALSE)</f>
        <v>3500</v>
      </c>
      <c r="E360" s="40" t="e">
        <f>VLOOKUP(B360,MaxData!$A$1:$B$373, 2,FALSE)</f>
        <v>#N/A</v>
      </c>
      <c r="F360" s="40">
        <f>VLOOKUP(B360,FanduelExcelSub!$B$1:$D$434,3, FALSE)</f>
        <v>0</v>
      </c>
    </row>
    <row r="361" spans="1:6" x14ac:dyDescent="0.25">
      <c r="A361" s="40" t="str">
        <f>FanduelExcel!B327</f>
        <v>PF</v>
      </c>
      <c r="B361" s="40" t="str">
        <f>FanduelExcel!C327&amp;" "&amp;FanduelExcel!E327</f>
        <v>Thomas Robinson</v>
      </c>
      <c r="C361">
        <v>0</v>
      </c>
      <c r="D361" s="40">
        <f>VLOOKUP(B361,FanduelExcelSub!$B$1:$C$434,2, FALSE)</f>
        <v>3500</v>
      </c>
      <c r="E361" s="40" t="e">
        <f>VLOOKUP(B361,MaxData!$A$1:$B$373, 2,FALSE)</f>
        <v>#N/A</v>
      </c>
      <c r="F361" s="40">
        <f>VLOOKUP(B361,FanduelExcelSub!$B$1:$D$434,3, FALSE)</f>
        <v>0</v>
      </c>
    </row>
    <row r="362" spans="1:6" x14ac:dyDescent="0.25">
      <c r="A362" s="40" t="str">
        <f>FanduelExcel!B328</f>
        <v>PG</v>
      </c>
      <c r="B362" s="40" t="str">
        <f>FanduelExcel!C328&amp;" "&amp;FanduelExcel!E328</f>
        <v>Bobby Brown</v>
      </c>
      <c r="C362">
        <v>0</v>
      </c>
      <c r="D362" s="40">
        <f>VLOOKUP(B362,FanduelExcelSub!$B$1:$C$434,2, FALSE)</f>
        <v>3500</v>
      </c>
      <c r="E362" s="40" t="e">
        <f>VLOOKUP(B362,MaxData!$A$1:$B$373, 2,FALSE)</f>
        <v>#N/A</v>
      </c>
      <c r="F362" s="40">
        <f>VLOOKUP(B362,FanduelExcelSub!$B$1:$D$434,3, FALSE)</f>
        <v>0</v>
      </c>
    </row>
    <row r="363" spans="1:6" x14ac:dyDescent="0.25">
      <c r="A363" s="40" t="str">
        <f>FanduelExcel!B329</f>
        <v>PF</v>
      </c>
      <c r="B363" s="40" t="str">
        <f>FanduelExcel!C329&amp;" "&amp;FanduelExcel!E329</f>
        <v>Udonis Haslem</v>
      </c>
      <c r="C363">
        <v>0</v>
      </c>
      <c r="D363" s="40">
        <f>VLOOKUP(B363,FanduelExcelSub!$B$1:$C$434,2, FALSE)</f>
        <v>3500</v>
      </c>
      <c r="E363" s="40" t="e">
        <f>VLOOKUP(B363,MaxData!$A$1:$B$373, 2,FALSE)</f>
        <v>#N/A</v>
      </c>
      <c r="F363" s="40">
        <f>VLOOKUP(B363,FanduelExcelSub!$B$1:$D$434,3, FALSE)</f>
        <v>0</v>
      </c>
    </row>
    <row r="364" spans="1:6" x14ac:dyDescent="0.25">
      <c r="A364" s="40" t="str">
        <f>FanduelExcel!B330</f>
        <v>C</v>
      </c>
      <c r="B364" s="40" t="str">
        <f>FanduelExcel!C330&amp;" "&amp;FanduelExcel!E330</f>
        <v>Jeff Withey</v>
      </c>
      <c r="C364">
        <v>0</v>
      </c>
      <c r="D364" s="40">
        <f>VLOOKUP(B364,FanduelExcelSub!$B$1:$C$434,2, FALSE)</f>
        <v>3500</v>
      </c>
      <c r="E364" s="40" t="e">
        <f>VLOOKUP(B364,MaxData!$A$1:$B$373, 2,FALSE)</f>
        <v>#N/A</v>
      </c>
      <c r="F364" s="40">
        <f>VLOOKUP(B364,FanduelExcelSub!$B$1:$D$434,3, FALSE)</f>
        <v>0</v>
      </c>
    </row>
    <row r="365" spans="1:6" x14ac:dyDescent="0.25">
      <c r="A365" s="40" t="str">
        <f>FanduelExcel!B331</f>
        <v>PG</v>
      </c>
      <c r="B365" s="40" t="str">
        <f>FanduelExcel!C331&amp;" "&amp;FanduelExcel!E331</f>
        <v>Ramon Sessions</v>
      </c>
      <c r="C365">
        <v>0</v>
      </c>
      <c r="D365" s="40">
        <f>VLOOKUP(B365,FanduelExcelSub!$B$1:$C$434,2, FALSE)</f>
        <v>3500</v>
      </c>
      <c r="E365" s="40" t="e">
        <f>VLOOKUP(B365,MaxData!$A$1:$B$373, 2,FALSE)</f>
        <v>#N/A</v>
      </c>
      <c r="F365" s="40" t="str">
        <f>VLOOKUP(B365,FanduelExcelSub!$B$1:$D$434,3, FALSE)</f>
        <v>O</v>
      </c>
    </row>
    <row r="366" spans="1:6" x14ac:dyDescent="0.25">
      <c r="A366" s="40" t="str">
        <f>FanduelExcel!B335</f>
        <v>SG</v>
      </c>
      <c r="B366" s="40" t="str">
        <f>FanduelExcel!C335&amp;" "&amp;FanduelExcel!E335</f>
        <v>Joe Young</v>
      </c>
      <c r="C366">
        <v>0</v>
      </c>
      <c r="D366" s="40">
        <f>VLOOKUP(B366,FanduelExcelSub!$B$1:$C$434,2, FALSE)</f>
        <v>3500</v>
      </c>
      <c r="E366" s="40" t="e">
        <f>VLOOKUP(B366,MaxData!$A$1:$B$373, 2,FALSE)</f>
        <v>#N/A</v>
      </c>
      <c r="F366" s="40">
        <f>VLOOKUP(B366,FanduelExcelSub!$B$1:$D$434,3, FALSE)</f>
        <v>0</v>
      </c>
    </row>
    <row r="367" spans="1:6" x14ac:dyDescent="0.25">
      <c r="A367" s="40" t="str">
        <f>FanduelExcel!B336</f>
        <v>PF</v>
      </c>
      <c r="B367" s="40" t="str">
        <f>FanduelExcel!C336&amp;" "&amp;FanduelExcel!E336</f>
        <v>Kyle Wiltjer</v>
      </c>
      <c r="C367">
        <v>0</v>
      </c>
      <c r="D367" s="40">
        <f>VLOOKUP(B367,FanduelExcelSub!$B$1:$C$434,2, FALSE)</f>
        <v>3500</v>
      </c>
      <c r="E367" s="40" t="e">
        <f>VLOOKUP(B367,MaxData!$A$1:$B$373, 2,FALSE)</f>
        <v>#N/A</v>
      </c>
      <c r="F367" s="40">
        <f>VLOOKUP(B367,FanduelExcelSub!$B$1:$D$434,3, FALSE)</f>
        <v>0</v>
      </c>
    </row>
    <row r="368" spans="1:6" x14ac:dyDescent="0.25">
      <c r="A368" s="40" t="str">
        <f>FanduelExcel!B337</f>
        <v>C</v>
      </c>
      <c r="B368" s="40" t="str">
        <f>FanduelExcel!C337&amp;" "&amp;FanduelExcel!E337</f>
        <v>Stephen Zimmerman Jr.</v>
      </c>
      <c r="C368">
        <v>0</v>
      </c>
      <c r="D368" s="40">
        <f>VLOOKUP(B368,FanduelExcelSub!$B$1:$C$434,2, FALSE)</f>
        <v>3500</v>
      </c>
      <c r="E368" s="40" t="e">
        <f>VLOOKUP(B368,MaxData!$A$1:$B$373, 2,FALSE)</f>
        <v>#N/A</v>
      </c>
      <c r="F368" s="40">
        <f>VLOOKUP(B368,FanduelExcelSub!$B$1:$D$434,3, FALSE)</f>
        <v>0</v>
      </c>
    </row>
    <row r="369" spans="1:6" x14ac:dyDescent="0.25">
      <c r="A369" s="40" t="str">
        <f>FanduelExcel!B338</f>
        <v>SF</v>
      </c>
      <c r="B369" s="40" t="str">
        <f>FanduelExcel!C338&amp;" "&amp;FanduelExcel!E338</f>
        <v>Derrick Jones Jr.</v>
      </c>
      <c r="C369">
        <v>0</v>
      </c>
      <c r="D369" s="40">
        <f>VLOOKUP(B369,FanduelExcelSub!$B$1:$C$434,2, FALSE)</f>
        <v>3500</v>
      </c>
      <c r="E369" s="40" t="e">
        <f>VLOOKUP(B369,MaxData!$A$1:$B$373, 2,FALSE)</f>
        <v>#N/A</v>
      </c>
      <c r="F369" s="40">
        <f>VLOOKUP(B369,FanduelExcelSub!$B$1:$D$434,3, FALSE)</f>
        <v>0</v>
      </c>
    </row>
    <row r="370" spans="1:6" x14ac:dyDescent="0.25">
      <c r="A370" s="40" t="str">
        <f>FanduelExcel!B339</f>
        <v>PF</v>
      </c>
      <c r="B370" s="40" t="str">
        <f>FanduelExcel!C339&amp;" "&amp;FanduelExcel!E339</f>
        <v>David West</v>
      </c>
      <c r="C370">
        <v>0</v>
      </c>
      <c r="D370" s="40">
        <f>VLOOKUP(B370,FanduelExcelSub!$B$1:$C$434,2, FALSE)</f>
        <v>3500</v>
      </c>
      <c r="E370" s="40" t="e">
        <f>VLOOKUP(B370,MaxData!$A$1:$B$373, 2,FALSE)</f>
        <v>#N/A</v>
      </c>
      <c r="F370" s="40" t="str">
        <f>VLOOKUP(B370,FanduelExcelSub!$B$1:$D$434,3, FALSE)</f>
        <v>O</v>
      </c>
    </row>
    <row r="371" spans="1:6" x14ac:dyDescent="0.25">
      <c r="A371" s="40" t="str">
        <f>FanduelExcel!B341</f>
        <v>PF</v>
      </c>
      <c r="B371" s="40" t="str">
        <f>FanduelExcel!C341&amp;" "&amp;FanduelExcel!E341</f>
        <v>Nick Collison</v>
      </c>
      <c r="C371">
        <v>0</v>
      </c>
      <c r="D371" s="40">
        <f>VLOOKUP(B371,FanduelExcelSub!$B$1:$C$434,2, FALSE)</f>
        <v>3500</v>
      </c>
      <c r="E371" s="40" t="e">
        <f>VLOOKUP(B371,MaxData!$A$1:$B$373, 2,FALSE)</f>
        <v>#N/A</v>
      </c>
      <c r="F371" s="40">
        <f>VLOOKUP(B371,FanduelExcelSub!$B$1:$D$434,3, FALSE)</f>
        <v>0</v>
      </c>
    </row>
    <row r="372" spans="1:6" x14ac:dyDescent="0.25">
      <c r="A372" s="40" t="str">
        <f>FanduelExcel!B342</f>
        <v>PG</v>
      </c>
      <c r="B372" s="40" t="str">
        <f>FanduelExcel!C342&amp;" "&amp;FanduelExcel!E342</f>
        <v>Nicolas Laprovittola</v>
      </c>
      <c r="C372">
        <v>0</v>
      </c>
      <c r="D372" s="40">
        <f>VLOOKUP(B372,FanduelExcelSub!$B$1:$C$434,2, FALSE)</f>
        <v>3500</v>
      </c>
      <c r="E372" s="40" t="e">
        <f>VLOOKUP(B372,MaxData!$A$1:$B$373, 2,FALSE)</f>
        <v>#N/A</v>
      </c>
      <c r="F372" s="40">
        <f>VLOOKUP(B372,FanduelExcelSub!$B$1:$D$434,3, FALSE)</f>
        <v>0</v>
      </c>
    </row>
    <row r="373" spans="1:6" x14ac:dyDescent="0.25">
      <c r="A373" s="40" t="str">
        <f>FanduelExcel!B344</f>
        <v>PF</v>
      </c>
      <c r="B373" s="40" t="str">
        <f>FanduelExcel!C344&amp;" "&amp;FanduelExcel!E344</f>
        <v>Brandon Bass</v>
      </c>
      <c r="C373">
        <v>0</v>
      </c>
      <c r="D373" s="40">
        <f>VLOOKUP(B373,FanduelExcelSub!$B$1:$C$434,2, FALSE)</f>
        <v>3500</v>
      </c>
      <c r="E373" s="40" t="e">
        <f>VLOOKUP(B373,MaxData!$A$1:$B$373, 2,FALSE)</f>
        <v>#N/A</v>
      </c>
      <c r="F373" s="40">
        <f>VLOOKUP(B373,FanduelExcelSub!$B$1:$D$434,3, FALSE)</f>
        <v>0</v>
      </c>
    </row>
    <row r="374" spans="1:6" x14ac:dyDescent="0.25">
      <c r="A374" s="40" t="str">
        <f>FanduelExcel!B348</f>
        <v>PG</v>
      </c>
      <c r="B374" s="40" t="str">
        <f>FanduelExcel!C348&amp;" "&amp;FanduelExcel!E348</f>
        <v>Beno Udrih</v>
      </c>
      <c r="C374">
        <v>0</v>
      </c>
      <c r="D374" s="40">
        <f>VLOOKUP(B374,FanduelExcelSub!$B$1:$C$434,2, FALSE)</f>
        <v>3500</v>
      </c>
      <c r="E374" s="40" t="e">
        <f>VLOOKUP(B374,MaxData!$A$1:$B$373, 2,FALSE)</f>
        <v>#N/A</v>
      </c>
      <c r="F374" s="40">
        <f>VLOOKUP(B374,FanduelExcelSub!$B$1:$D$434,3, FALSE)</f>
        <v>0</v>
      </c>
    </row>
    <row r="375" spans="1:6" x14ac:dyDescent="0.25">
      <c r="A375" s="40" t="str">
        <f>FanduelExcel!B351</f>
        <v>PG</v>
      </c>
      <c r="B375" s="40" t="str">
        <f>FanduelExcel!C351&amp;" "&amp;FanduelExcel!E351</f>
        <v>Jose Calderon</v>
      </c>
      <c r="C375">
        <v>0</v>
      </c>
      <c r="D375" s="40">
        <f>VLOOKUP(B375,FanduelExcelSub!$B$1:$C$434,2, FALSE)</f>
        <v>3500</v>
      </c>
      <c r="E375" s="40" t="e">
        <f>VLOOKUP(B375,MaxData!$A$1:$B$373, 2,FALSE)</f>
        <v>#N/A</v>
      </c>
      <c r="F375" s="40">
        <f>VLOOKUP(B375,FanduelExcelSub!$B$1:$D$434,3, FALSE)</f>
        <v>0</v>
      </c>
    </row>
    <row r="376" spans="1:6" x14ac:dyDescent="0.25">
      <c r="A376" s="40" t="str">
        <f>FanduelExcel!B352</f>
        <v>PF</v>
      </c>
      <c r="B376" s="40" t="str">
        <f>FanduelExcel!C352&amp;" "&amp;FanduelExcel!E352</f>
        <v>Adreian Payne</v>
      </c>
      <c r="C376">
        <v>0</v>
      </c>
      <c r="D376" s="40">
        <f>VLOOKUP(B376,FanduelExcelSub!$B$1:$C$434,2, FALSE)</f>
        <v>3500</v>
      </c>
      <c r="E376" s="40" t="e">
        <f>VLOOKUP(B376,MaxData!$A$1:$B$373, 2,FALSE)</f>
        <v>#N/A</v>
      </c>
      <c r="F376" s="40" t="str">
        <f>VLOOKUP(B376,FanduelExcelSub!$B$1:$D$434,3, FALSE)</f>
        <v>O</v>
      </c>
    </row>
    <row r="377" spans="1:6" x14ac:dyDescent="0.25">
      <c r="A377" s="40" t="str">
        <f>FanduelExcel!B353</f>
        <v>PG</v>
      </c>
      <c r="B377" s="40" t="str">
        <f>FanduelExcel!C353&amp;" "&amp;FanduelExcel!E353</f>
        <v>Ronnie Price</v>
      </c>
      <c r="C377">
        <v>0</v>
      </c>
      <c r="D377" s="40">
        <f>VLOOKUP(B377,FanduelExcelSub!$B$1:$C$434,2, FALSE)</f>
        <v>3700</v>
      </c>
      <c r="E377" s="40" t="e">
        <f>VLOOKUP(B377,MaxData!$A$1:$B$373, 2,FALSE)</f>
        <v>#N/A</v>
      </c>
      <c r="F377" s="40">
        <f>VLOOKUP(B377,FanduelExcelSub!$B$1:$D$434,3, FALSE)</f>
        <v>0</v>
      </c>
    </row>
    <row r="378" spans="1:6" x14ac:dyDescent="0.25">
      <c r="A378" s="40" t="str">
        <f>FanduelExcel!B357</f>
        <v>SG</v>
      </c>
      <c r="B378" s="40" t="str">
        <f>FanduelExcel!C357&amp;" "&amp;FanduelExcel!E357</f>
        <v>Malik Beasley</v>
      </c>
      <c r="C378">
        <v>0</v>
      </c>
      <c r="D378" s="40">
        <f>VLOOKUP(B378,FanduelExcelSub!$B$1:$C$434,2, FALSE)</f>
        <v>3500</v>
      </c>
      <c r="E378" s="40" t="e">
        <f>VLOOKUP(B378,MaxData!$A$1:$B$373, 2,FALSE)</f>
        <v>#N/A</v>
      </c>
      <c r="F378" s="40">
        <f>VLOOKUP(B378,FanduelExcelSub!$B$1:$D$434,3, FALSE)</f>
        <v>0</v>
      </c>
    </row>
    <row r="379" spans="1:6" x14ac:dyDescent="0.25">
      <c r="A379" s="40" t="str">
        <f>FanduelExcel!B358</f>
        <v>PF</v>
      </c>
      <c r="B379" s="40" t="str">
        <f>FanduelExcel!C358&amp;" "&amp;FanduelExcel!E358</f>
        <v>Jordan Hill</v>
      </c>
      <c r="C379">
        <v>0</v>
      </c>
      <c r="D379" s="40">
        <f>VLOOKUP(B379,FanduelExcelSub!$B$1:$C$434,2, FALSE)</f>
        <v>3500</v>
      </c>
      <c r="E379" s="40" t="e">
        <f>VLOOKUP(B379,MaxData!$A$1:$B$373, 2,FALSE)</f>
        <v>#N/A</v>
      </c>
      <c r="F379" s="40">
        <f>VLOOKUP(B379,FanduelExcelSub!$B$1:$D$434,3, FALSE)</f>
        <v>0</v>
      </c>
    </row>
    <row r="380" spans="1:6" x14ac:dyDescent="0.25">
      <c r="A380" s="40" t="str">
        <f>FanduelExcel!B359</f>
        <v>C</v>
      </c>
      <c r="B380" s="40" t="str">
        <f>FanduelExcel!C359&amp;" "&amp;FanduelExcel!E359</f>
        <v>Joel Anthony</v>
      </c>
      <c r="C380">
        <v>0</v>
      </c>
      <c r="D380" s="40">
        <f>VLOOKUP(B380,FanduelExcelSub!$B$1:$C$434,2, FALSE)</f>
        <v>3500</v>
      </c>
      <c r="E380" s="40" t="e">
        <f>VLOOKUP(B380,MaxData!$A$1:$B$373, 2,FALSE)</f>
        <v>#N/A</v>
      </c>
      <c r="F380" s="40">
        <f>VLOOKUP(B380,FanduelExcelSub!$B$1:$D$434,3, FALSE)</f>
        <v>0</v>
      </c>
    </row>
    <row r="381" spans="1:6" x14ac:dyDescent="0.25">
      <c r="A381" s="40" t="str">
        <f>FanduelExcel!B360</f>
        <v>SG</v>
      </c>
      <c r="B381" s="40" t="str">
        <f>FanduelExcel!C360&amp;" "&amp;FanduelExcel!E360</f>
        <v>James Jones</v>
      </c>
      <c r="C381">
        <v>0</v>
      </c>
      <c r="D381" s="40">
        <f>VLOOKUP(B381,FanduelExcelSub!$B$1:$C$434,2, FALSE)</f>
        <v>3500</v>
      </c>
      <c r="E381" s="40" t="e">
        <f>VLOOKUP(B381,MaxData!$A$1:$B$373, 2,FALSE)</f>
        <v>#N/A</v>
      </c>
      <c r="F381" s="40">
        <f>VLOOKUP(B381,FanduelExcelSub!$B$1:$D$434,3, FALSE)</f>
        <v>0</v>
      </c>
    </row>
    <row r="382" spans="1:6" x14ac:dyDescent="0.25">
      <c r="A382" s="40" t="str">
        <f>FanduelExcel!B361</f>
        <v>PF</v>
      </c>
      <c r="B382" s="40" t="str">
        <f>FanduelExcel!C361&amp;" "&amp;FanduelExcel!E361</f>
        <v>Skal Labissiere</v>
      </c>
      <c r="C382">
        <v>0</v>
      </c>
      <c r="D382" s="40">
        <f>VLOOKUP(B382,FanduelExcelSub!$B$1:$C$434,2, FALSE)</f>
        <v>3500</v>
      </c>
      <c r="E382" s="40" t="e">
        <f>VLOOKUP(B382,MaxData!$A$1:$B$373, 2,FALSE)</f>
        <v>#N/A</v>
      </c>
      <c r="F382" s="40">
        <f>VLOOKUP(B382,FanduelExcelSub!$B$1:$D$434,3, FALSE)</f>
        <v>0</v>
      </c>
    </row>
    <row r="383" spans="1:6" x14ac:dyDescent="0.25">
      <c r="A383" s="40" t="str">
        <f>FanduelExcel!B363</f>
        <v>C</v>
      </c>
      <c r="B383" s="40" t="str">
        <f>FanduelExcel!C363&amp;" "&amp;FanduelExcel!E363</f>
        <v>Diamond Stone</v>
      </c>
      <c r="C383">
        <v>0</v>
      </c>
      <c r="D383" s="40">
        <f>VLOOKUP(B383,FanduelExcelSub!$B$1:$C$434,2, FALSE)</f>
        <v>3500</v>
      </c>
      <c r="E383" s="40" t="e">
        <f>VLOOKUP(B383,MaxData!$A$1:$B$373, 2,FALSE)</f>
        <v>#N/A</v>
      </c>
      <c r="F383" s="40">
        <f>VLOOKUP(B383,FanduelExcelSub!$B$1:$D$434,3, FALSE)</f>
        <v>0</v>
      </c>
    </row>
    <row r="384" spans="1:6" x14ac:dyDescent="0.25">
      <c r="A384" s="40" t="str">
        <f>FanduelExcel!B364</f>
        <v>SG</v>
      </c>
      <c r="B384" s="40" t="str">
        <f>FanduelExcel!C364&amp;" "&amp;FanduelExcel!E364</f>
        <v>Reggie Bullock</v>
      </c>
      <c r="C384">
        <v>0</v>
      </c>
      <c r="D384" s="40">
        <f>VLOOKUP(B384,FanduelExcelSub!$B$1:$C$434,2, FALSE)</f>
        <v>3500</v>
      </c>
      <c r="E384" s="40" t="e">
        <f>VLOOKUP(B384,MaxData!$A$1:$B$373, 2,FALSE)</f>
        <v>#N/A</v>
      </c>
      <c r="F384" s="40">
        <f>VLOOKUP(B384,FanduelExcelSub!$B$1:$D$434,3, FALSE)</f>
        <v>0</v>
      </c>
    </row>
    <row r="385" spans="1:6" x14ac:dyDescent="0.25">
      <c r="A385" s="40" t="str">
        <f>FanduelExcel!B366</f>
        <v>PF</v>
      </c>
      <c r="B385" s="40" t="str">
        <f>FanduelExcel!C366&amp;" "&amp;FanduelExcel!E366</f>
        <v>Deyonta Davis</v>
      </c>
      <c r="C385">
        <v>0</v>
      </c>
      <c r="D385" s="40">
        <f>VLOOKUP(B385,FanduelExcelSub!$B$1:$C$434,2, FALSE)</f>
        <v>3500</v>
      </c>
      <c r="E385" s="40" t="e">
        <f>VLOOKUP(B385,MaxData!$A$1:$B$373, 2,FALSE)</f>
        <v>#N/A</v>
      </c>
      <c r="F385" s="40">
        <f>VLOOKUP(B385,FanduelExcelSub!$B$1:$D$434,3, FALSE)</f>
        <v>0</v>
      </c>
    </row>
    <row r="386" spans="1:6" x14ac:dyDescent="0.25">
      <c r="A386" s="40" t="str">
        <f>FanduelExcel!B368</f>
        <v>C</v>
      </c>
      <c r="B386" s="40" t="str">
        <f>FanduelExcel!C368&amp;" "&amp;FanduelExcel!E368</f>
        <v>Tyler Zeller</v>
      </c>
      <c r="C386">
        <v>0</v>
      </c>
      <c r="D386" s="40">
        <f>VLOOKUP(B386,FanduelExcelSub!$B$1:$C$434,2, FALSE)</f>
        <v>3500</v>
      </c>
      <c r="E386" s="40" t="e">
        <f>VLOOKUP(B386,MaxData!$A$1:$B$373, 2,FALSE)</f>
        <v>#N/A</v>
      </c>
      <c r="F386" s="40">
        <f>VLOOKUP(B386,FanduelExcelSub!$B$1:$D$434,3, FALSE)</f>
        <v>0</v>
      </c>
    </row>
    <row r="387" spans="1:6" x14ac:dyDescent="0.25">
      <c r="A387" s="40" t="str">
        <f>FanduelExcel!B370</f>
        <v>SF</v>
      </c>
      <c r="B387" s="40" t="str">
        <f>FanduelExcel!C370&amp;" "&amp;FanduelExcel!E370</f>
        <v>Georges Niang</v>
      </c>
      <c r="C387">
        <v>0</v>
      </c>
      <c r="D387" s="40">
        <f>VLOOKUP(B387,FanduelExcelSub!$B$1:$C$434,2, FALSE)</f>
        <v>3500</v>
      </c>
      <c r="E387" s="40" t="e">
        <f>VLOOKUP(B387,MaxData!$A$1:$B$373, 2,FALSE)</f>
        <v>#N/A</v>
      </c>
      <c r="F387" s="40">
        <f>VLOOKUP(B387,FanduelExcelSub!$B$1:$D$434,3, FALSE)</f>
        <v>0</v>
      </c>
    </row>
    <row r="388" spans="1:6" x14ac:dyDescent="0.25">
      <c r="A388" s="40" t="str">
        <f>FanduelExcel!B371</f>
        <v>PF</v>
      </c>
      <c r="B388" s="40" t="str">
        <f>FanduelExcel!C371&amp;" "&amp;FanduelExcel!E371</f>
        <v>Pascal Siakam</v>
      </c>
      <c r="C388">
        <v>0</v>
      </c>
      <c r="D388" s="40">
        <f>VLOOKUP(B388,FanduelExcelSub!$B$1:$C$434,2, FALSE)</f>
        <v>3500</v>
      </c>
      <c r="E388" s="40" t="e">
        <f>VLOOKUP(B388,MaxData!$A$1:$B$373, 2,FALSE)</f>
        <v>#N/A</v>
      </c>
      <c r="F388" s="40">
        <f>VLOOKUP(B388,FanduelExcelSub!$B$1:$D$434,3, FALSE)</f>
        <v>0</v>
      </c>
    </row>
    <row r="389" spans="1:6" x14ac:dyDescent="0.25">
      <c r="A389" s="40" t="str">
        <f>FanduelExcel!B374</f>
        <v>PF</v>
      </c>
      <c r="B389" s="40" t="str">
        <f>FanduelExcel!C374&amp;" "&amp;FanduelExcel!E374</f>
        <v>Jared Sullinger</v>
      </c>
      <c r="C389">
        <v>0</v>
      </c>
      <c r="D389" s="40">
        <f>VLOOKUP(B389,FanduelExcelSub!$B$1:$C$434,2, FALSE)</f>
        <v>3500</v>
      </c>
      <c r="E389" s="40" t="e">
        <f>VLOOKUP(B389,MaxData!$A$1:$B$373, 2,FALSE)</f>
        <v>#N/A</v>
      </c>
      <c r="F389" s="40">
        <f>VLOOKUP(B389,FanduelExcelSub!$B$1:$D$434,3, FALSE)</f>
        <v>0</v>
      </c>
    </row>
    <row r="390" spans="1:6" x14ac:dyDescent="0.25">
      <c r="A390" s="40" t="str">
        <f>FanduelExcel!B375</f>
        <v>PF</v>
      </c>
      <c r="B390" s="40" t="str">
        <f>FanduelExcel!C375&amp;" "&amp;FanduelExcel!E375</f>
        <v>Joel Bolomboy</v>
      </c>
      <c r="C390">
        <v>0</v>
      </c>
      <c r="D390" s="40">
        <f>VLOOKUP(B390,FanduelExcelSub!$B$1:$C$434,2, FALSE)</f>
        <v>3500</v>
      </c>
      <c r="E390" s="40" t="e">
        <f>VLOOKUP(B390,MaxData!$A$1:$B$373, 2,FALSE)</f>
        <v>#N/A</v>
      </c>
      <c r="F390" s="40">
        <f>VLOOKUP(B390,FanduelExcelSub!$B$1:$D$434,3, FALSE)</f>
        <v>0</v>
      </c>
    </row>
    <row r="391" spans="1:6" x14ac:dyDescent="0.25">
      <c r="A391" s="40" t="str">
        <f>FanduelExcel!B377</f>
        <v>PF</v>
      </c>
      <c r="B391" s="40" t="str">
        <f>FanduelExcel!C377&amp;" "&amp;FanduelExcel!E377</f>
        <v>Maurice Ndour</v>
      </c>
      <c r="C391">
        <v>0</v>
      </c>
      <c r="D391" s="40">
        <f>VLOOKUP(B391,FanduelExcelSub!$B$1:$C$434,2, FALSE)</f>
        <v>3500</v>
      </c>
      <c r="E391" s="40" t="e">
        <f>VLOOKUP(B391,MaxData!$A$1:$B$373, 2,FALSE)</f>
        <v>#N/A</v>
      </c>
      <c r="F391" s="40">
        <f>VLOOKUP(B391,FanduelExcelSub!$B$1:$D$434,3, FALSE)</f>
        <v>0</v>
      </c>
    </row>
    <row r="392" spans="1:6" x14ac:dyDescent="0.25">
      <c r="A392" s="40" t="str">
        <f>FanduelExcel!B379</f>
        <v>SF</v>
      </c>
      <c r="B392" s="40" t="str">
        <f>FanduelExcel!C379&amp;" "&amp;FanduelExcel!E379</f>
        <v>Troy Williams</v>
      </c>
      <c r="C392">
        <v>0</v>
      </c>
      <c r="D392" s="40">
        <f>VLOOKUP(B392,FanduelExcelSub!$B$1:$C$434,2, FALSE)</f>
        <v>3500</v>
      </c>
      <c r="E392" s="40" t="e">
        <f>VLOOKUP(B392,MaxData!$A$1:$B$373, 2,FALSE)</f>
        <v>#N/A</v>
      </c>
      <c r="F392" s="40">
        <f>VLOOKUP(B392,FanduelExcelSub!$B$1:$D$434,3, FALSE)</f>
        <v>0</v>
      </c>
    </row>
    <row r="393" spans="1:6" x14ac:dyDescent="0.25">
      <c r="A393" s="40" t="str">
        <f>FanduelExcel!B380</f>
        <v>SF</v>
      </c>
      <c r="B393" s="40" t="str">
        <f>FanduelExcel!C380&amp;" "&amp;FanduelExcel!E380</f>
        <v>Steve Novak</v>
      </c>
      <c r="C393">
        <v>0</v>
      </c>
      <c r="D393" s="40">
        <f>VLOOKUP(B393,FanduelExcelSub!$B$1:$C$434,2, FALSE)</f>
        <v>3500</v>
      </c>
      <c r="E393" s="40" t="e">
        <f>VLOOKUP(B393,MaxData!$A$1:$B$373, 2,FALSE)</f>
        <v>#N/A</v>
      </c>
      <c r="F393" s="40">
        <f>VLOOKUP(B393,FanduelExcelSub!$B$1:$D$434,3, FALSE)</f>
        <v>0</v>
      </c>
    </row>
    <row r="394" spans="1:6" x14ac:dyDescent="0.25">
      <c r="A394" s="40" t="str">
        <f>FanduelExcel!B381</f>
        <v>SG</v>
      </c>
      <c r="B394" s="40" t="str">
        <f>FanduelExcel!C381&amp;" "&amp;FanduelExcel!E381</f>
        <v>Aaron Harrison</v>
      </c>
      <c r="C394">
        <v>0</v>
      </c>
      <c r="D394" s="40">
        <f>VLOOKUP(B394,FanduelExcelSub!$B$1:$C$434,2, FALSE)</f>
        <v>3500</v>
      </c>
      <c r="E394" s="40" t="e">
        <f>VLOOKUP(B394,MaxData!$A$1:$B$373, 2,FALSE)</f>
        <v>#N/A</v>
      </c>
      <c r="F394" s="40">
        <f>VLOOKUP(B394,FanduelExcelSub!$B$1:$D$434,3, FALSE)</f>
        <v>0</v>
      </c>
    </row>
    <row r="395" spans="1:6" x14ac:dyDescent="0.25">
      <c r="A395" s="40" t="str">
        <f>FanduelExcel!B382</f>
        <v>PG</v>
      </c>
      <c r="B395" s="40" t="str">
        <f>FanduelExcel!C382&amp;" "&amp;FanduelExcel!E382</f>
        <v>Andrew Harrison</v>
      </c>
      <c r="C395">
        <v>0</v>
      </c>
      <c r="D395" s="40">
        <f>VLOOKUP(B395,FanduelExcelSub!$B$1:$C$434,2, FALSE)</f>
        <v>3500</v>
      </c>
      <c r="E395" s="40" t="e">
        <f>VLOOKUP(B395,MaxData!$A$1:$B$373, 2,FALSE)</f>
        <v>#N/A</v>
      </c>
      <c r="F395" s="40">
        <f>VLOOKUP(B395,FanduelExcelSub!$B$1:$D$434,3, FALSE)</f>
        <v>0</v>
      </c>
    </row>
    <row r="396" spans="1:6" x14ac:dyDescent="0.25">
      <c r="A396" s="40" t="str">
        <f>FanduelExcel!B384</f>
        <v>SF</v>
      </c>
      <c r="B396" s="40" t="str">
        <f>FanduelExcel!C384&amp;" "&amp;FanduelExcel!E384</f>
        <v>Mindaugas Kuzminskas</v>
      </c>
      <c r="C396">
        <v>0</v>
      </c>
      <c r="D396" s="40">
        <f>VLOOKUP(B396,FanduelExcelSub!$B$1:$C$434,2, FALSE)</f>
        <v>3500</v>
      </c>
      <c r="E396" s="40" t="e">
        <f>VLOOKUP(B396,MaxData!$A$1:$B$373, 2,FALSE)</f>
        <v>#N/A</v>
      </c>
      <c r="F396" s="40">
        <f>VLOOKUP(B396,FanduelExcelSub!$B$1:$D$434,3, FALSE)</f>
        <v>0</v>
      </c>
    </row>
    <row r="397" spans="1:6" x14ac:dyDescent="0.25">
      <c r="A397" s="40" t="str">
        <f>FanduelExcel!B386</f>
        <v>PG</v>
      </c>
      <c r="B397" s="40" t="str">
        <f>FanduelExcel!C386&amp;" "&amp;FanduelExcel!E386</f>
        <v>Tyler Ennis</v>
      </c>
      <c r="C397">
        <v>0</v>
      </c>
      <c r="D397" s="40">
        <f>VLOOKUP(B397,FanduelExcelSub!$B$1:$C$434,2, FALSE)</f>
        <v>3500</v>
      </c>
      <c r="E397" s="40" t="e">
        <f>VLOOKUP(B397,MaxData!$A$1:$B$373, 2,FALSE)</f>
        <v>#N/A</v>
      </c>
      <c r="F397" s="40">
        <f>VLOOKUP(B397,FanduelExcelSub!$B$1:$D$434,3, FALSE)</f>
        <v>0</v>
      </c>
    </row>
    <row r="398" spans="1:6" x14ac:dyDescent="0.25">
      <c r="A398" s="40" t="str">
        <f>FanduelExcel!B390</f>
        <v>PG</v>
      </c>
      <c r="B398" s="40" t="str">
        <f>FanduelExcel!C390&amp;" "&amp;FanduelExcel!E390</f>
        <v>Tyus Jones</v>
      </c>
      <c r="C398">
        <v>0</v>
      </c>
      <c r="D398" s="40">
        <f>VLOOKUP(B398,FanduelExcelSub!$B$1:$C$434,2, FALSE)</f>
        <v>4100</v>
      </c>
      <c r="E398" s="40" t="e">
        <f>VLOOKUP(B398,MaxData!$A$1:$B$373, 2,FALSE)</f>
        <v>#N/A</v>
      </c>
      <c r="F398" s="40">
        <f>VLOOKUP(B398,FanduelExcelSub!$B$1:$D$434,3, FALSE)</f>
        <v>0</v>
      </c>
    </row>
    <row r="399" spans="1:6" x14ac:dyDescent="0.25">
      <c r="A399" s="40" t="str">
        <f>FanduelExcel!B391</f>
        <v>C</v>
      </c>
      <c r="B399" s="40" t="str">
        <f>FanduelExcel!C391&amp;" "&amp;FanduelExcel!E391</f>
        <v>A.J. Hammons</v>
      </c>
      <c r="C399">
        <v>0</v>
      </c>
      <c r="D399" s="40">
        <f>VLOOKUP(B399,FanduelExcelSub!$B$1:$C$434,2, FALSE)</f>
        <v>3500</v>
      </c>
      <c r="E399" s="40" t="e">
        <f>VLOOKUP(B399,MaxData!$A$1:$B$373, 2,FALSE)</f>
        <v>#N/A</v>
      </c>
      <c r="F399" s="40">
        <f>VLOOKUP(B399,FanduelExcelSub!$B$1:$D$434,3, FALSE)</f>
        <v>0</v>
      </c>
    </row>
    <row r="400" spans="1:6" x14ac:dyDescent="0.25">
      <c r="A400" s="40" t="str">
        <f>FanduelExcel!B395</f>
        <v>C</v>
      </c>
      <c r="B400" s="40" t="str">
        <f>FanduelExcel!C395&amp;" "&amp;FanduelExcel!E395</f>
        <v>Edy Tavares</v>
      </c>
      <c r="C400">
        <v>0</v>
      </c>
      <c r="D400" s="40">
        <f>VLOOKUP(B400,FanduelExcelSub!$B$1:$C$434,2, FALSE)</f>
        <v>3500</v>
      </c>
      <c r="E400" s="40" t="e">
        <f>VLOOKUP(B400,MaxData!$A$1:$B$373, 2,FALSE)</f>
        <v>#N/A</v>
      </c>
      <c r="F400" s="40">
        <f>VLOOKUP(B400,FanduelExcelSub!$B$1:$D$434,3, FALSE)</f>
        <v>0</v>
      </c>
    </row>
    <row r="401" spans="1:6" x14ac:dyDescent="0.25">
      <c r="A401" s="40" t="str">
        <f>FanduelExcel!B397</f>
        <v>PG</v>
      </c>
      <c r="B401" s="40" t="str">
        <f>FanduelExcel!C397&amp;" "&amp;FanduelExcel!E397</f>
        <v>Jonathan Gibson</v>
      </c>
      <c r="C401">
        <v>0</v>
      </c>
      <c r="D401" s="40">
        <f>VLOOKUP(B401,FanduelExcelSub!$B$1:$C$434,2, FALSE)</f>
        <v>3500</v>
      </c>
      <c r="E401" s="40" t="e">
        <f>VLOOKUP(B401,MaxData!$A$1:$B$373, 2,FALSE)</f>
        <v>#N/A</v>
      </c>
      <c r="F401" s="40">
        <f>VLOOKUP(B401,FanduelExcelSub!$B$1:$D$434,3, FALSE)</f>
        <v>0</v>
      </c>
    </row>
    <row r="402" spans="1:6" x14ac:dyDescent="0.25">
      <c r="A402" s="40" t="str">
        <f>FanduelExcel!B399</f>
        <v>SF</v>
      </c>
      <c r="B402" s="40" t="str">
        <f>FanduelExcel!C399&amp;" "&amp;FanduelExcel!E399</f>
        <v>Anthony Brown</v>
      </c>
      <c r="C402">
        <v>0</v>
      </c>
      <c r="D402" s="40">
        <f>VLOOKUP(B402,FanduelExcelSub!$B$1:$C$434,2, FALSE)</f>
        <v>3500</v>
      </c>
      <c r="E402" s="40" t="e">
        <f>VLOOKUP(B402,MaxData!$A$1:$B$373, 2,FALSE)</f>
        <v>#N/A</v>
      </c>
      <c r="F402" s="40">
        <f>VLOOKUP(B402,FanduelExcelSub!$B$1:$D$434,3, FALSE)</f>
        <v>0</v>
      </c>
    </row>
    <row r="403" spans="1:6" x14ac:dyDescent="0.25">
      <c r="A403" s="40" t="str">
        <f>FanduelExcel!B400</f>
        <v>SF</v>
      </c>
      <c r="B403" s="40" t="str">
        <f>FanduelExcel!C400&amp;" "&amp;FanduelExcel!E400</f>
        <v>Josh Huestis</v>
      </c>
      <c r="C403">
        <v>0</v>
      </c>
      <c r="D403" s="40">
        <f>VLOOKUP(B403,FanduelExcelSub!$B$1:$C$434,2, FALSE)</f>
        <v>3500</v>
      </c>
      <c r="E403" s="40" t="e">
        <f>VLOOKUP(B403,MaxData!$A$1:$B$373, 2,FALSE)</f>
        <v>#N/A</v>
      </c>
      <c r="F403" s="40">
        <f>VLOOKUP(B403,FanduelExcelSub!$B$1:$D$434,3, FALSE)</f>
        <v>0</v>
      </c>
    </row>
    <row r="404" spans="1:6" x14ac:dyDescent="0.25">
      <c r="A404" s="40" t="str">
        <f>FanduelExcel!B402</f>
        <v>PG</v>
      </c>
      <c r="B404" s="40" t="str">
        <f>FanduelExcel!C402&amp;" "&amp;FanduelExcel!E402</f>
        <v>Chasson Randle</v>
      </c>
      <c r="C404">
        <v>0</v>
      </c>
      <c r="D404" s="40">
        <f>VLOOKUP(B404,FanduelExcelSub!$B$1:$C$434,2, FALSE)</f>
        <v>3500</v>
      </c>
      <c r="E404" s="40" t="e">
        <f>VLOOKUP(B404,MaxData!$A$1:$B$373, 2,FALSE)</f>
        <v>#N/A</v>
      </c>
      <c r="F404" s="40">
        <f>VLOOKUP(B404,FanduelExcelSub!$B$1:$D$434,3, FALSE)</f>
        <v>0</v>
      </c>
    </row>
    <row r="405" spans="1:6" x14ac:dyDescent="0.25">
      <c r="A405" s="40" t="str">
        <f>FanduelExcel!B403</f>
        <v>C</v>
      </c>
      <c r="B405" s="40" t="str">
        <f>FanduelExcel!C403&amp;" "&amp;FanduelExcel!E403</f>
        <v>Rakeem Christmas</v>
      </c>
      <c r="C405">
        <v>0</v>
      </c>
      <c r="D405" s="40">
        <f>VLOOKUP(B405,FanduelExcelSub!$B$1:$C$434,2, FALSE)</f>
        <v>3500</v>
      </c>
      <c r="E405" s="40" t="e">
        <f>VLOOKUP(B405,MaxData!$A$1:$B$373, 2,FALSE)</f>
        <v>#N/A</v>
      </c>
      <c r="F405" s="40">
        <f>VLOOKUP(B405,FanduelExcelSub!$B$1:$D$434,3, FALSE)</f>
        <v>0</v>
      </c>
    </row>
    <row r="406" spans="1:6" x14ac:dyDescent="0.25">
      <c r="A406" s="40" t="str">
        <f>FanduelExcel!B405</f>
        <v>SG</v>
      </c>
      <c r="B406" s="40" t="str">
        <f>FanduelExcel!C405&amp;" "&amp;FanduelExcel!E405</f>
        <v>Jordan McRae</v>
      </c>
      <c r="C406">
        <v>0</v>
      </c>
      <c r="D406" s="40">
        <f>VLOOKUP(B406,FanduelExcelSub!$B$1:$C$434,2, FALSE)</f>
        <v>3500</v>
      </c>
      <c r="E406" s="40" t="e">
        <f>VLOOKUP(B406,MaxData!$A$1:$B$373, 2,FALSE)</f>
        <v>#N/A</v>
      </c>
      <c r="F406" s="40">
        <f>VLOOKUP(B406,FanduelExcelSub!$B$1:$D$434,3, FALSE)</f>
        <v>0</v>
      </c>
    </row>
    <row r="407" spans="1:6" x14ac:dyDescent="0.25">
      <c r="A407" s="40" t="str">
        <f>FanduelExcel!B406</f>
        <v>PF</v>
      </c>
      <c r="B407" s="40" t="str">
        <f>FanduelExcel!C406&amp;" "&amp;FanduelExcel!E406</f>
        <v>Jarell Martin</v>
      </c>
      <c r="C407">
        <v>0</v>
      </c>
      <c r="D407" s="40">
        <f>VLOOKUP(B407,FanduelExcelSub!$B$1:$C$434,2, FALSE)</f>
        <v>3500</v>
      </c>
      <c r="E407" s="40" t="e">
        <f>VLOOKUP(B407,MaxData!$A$1:$B$373, 2,FALSE)</f>
        <v>#N/A</v>
      </c>
      <c r="F407" s="40">
        <f>VLOOKUP(B407,FanduelExcelSub!$B$1:$D$434,3, FALSE)</f>
        <v>0</v>
      </c>
    </row>
    <row r="408" spans="1:6" x14ac:dyDescent="0.25">
      <c r="A408" s="40"/>
      <c r="B408" s="40"/>
      <c r="D408" s="40"/>
      <c r="E408" s="40"/>
    </row>
    <row r="409" spans="1:6" x14ac:dyDescent="0.25">
      <c r="A409" s="40"/>
      <c r="B409" s="40"/>
      <c r="D409" s="40"/>
      <c r="E409" s="40"/>
    </row>
    <row r="410" spans="1:6" x14ac:dyDescent="0.25">
      <c r="A410" s="40"/>
      <c r="B410" s="40"/>
      <c r="D410" s="40"/>
      <c r="E410" s="40"/>
    </row>
    <row r="411" spans="1:6" x14ac:dyDescent="0.25">
      <c r="A411" s="40"/>
      <c r="B411" s="40"/>
      <c r="D411" s="40"/>
      <c r="E411" s="40"/>
    </row>
    <row r="412" spans="1:6" x14ac:dyDescent="0.25">
      <c r="A412" s="40"/>
      <c r="B412" s="40"/>
      <c r="D412" s="40"/>
      <c r="E412" s="40"/>
    </row>
    <row r="413" spans="1:6" x14ac:dyDescent="0.25">
      <c r="A413" s="40"/>
      <c r="B413" s="40"/>
      <c r="D413" s="40"/>
      <c r="E413" s="40"/>
    </row>
    <row r="414" spans="1:6" x14ac:dyDescent="0.25">
      <c r="A414" s="40"/>
      <c r="B414" s="40"/>
      <c r="D414" s="40"/>
      <c r="E414" s="40"/>
    </row>
    <row r="415" spans="1:6" x14ac:dyDescent="0.25">
      <c r="A415" s="40"/>
      <c r="B415" s="40"/>
      <c r="D415" s="40"/>
      <c r="E415" s="40"/>
    </row>
    <row r="416" spans="1:6" x14ac:dyDescent="0.25">
      <c r="A416" s="40"/>
      <c r="B416" s="40"/>
      <c r="D416" s="40"/>
      <c r="E416" s="40"/>
    </row>
    <row r="417" spans="1:5" x14ac:dyDescent="0.25">
      <c r="A417" s="40"/>
      <c r="B417" s="40"/>
      <c r="D417" s="40"/>
      <c r="E417" s="40"/>
    </row>
    <row r="418" spans="1:5" x14ac:dyDescent="0.25">
      <c r="A418" s="40"/>
      <c r="B418" s="40"/>
      <c r="D418" s="40"/>
      <c r="E418" s="40"/>
    </row>
    <row r="419" spans="1:5" x14ac:dyDescent="0.25">
      <c r="A419" s="40"/>
      <c r="B419" s="40"/>
      <c r="D419" s="40"/>
      <c r="E419" s="40"/>
    </row>
    <row r="420" spans="1:5" x14ac:dyDescent="0.25">
      <c r="A420" s="40"/>
      <c r="B420" s="40"/>
      <c r="D420" s="40"/>
      <c r="E420" s="40"/>
    </row>
  </sheetData>
  <sortState ref="A1:E420">
    <sortCondition descending="1" ref="C1:C42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6" sqref="E1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4.5703125" customWidth="1"/>
    <col min="9" max="9" width="19.57031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21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23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10</v>
      </c>
      <c r="C15" s="15"/>
      <c r="D15" s="38">
        <f>'DraftKings Basketball  Solver'!O11</f>
        <v>461.90000000000003</v>
      </c>
      <c r="E15" s="36"/>
      <c r="F15" s="41" t="str">
        <f>'DraftKings Basketball  Solver'!O17</f>
        <v>Brandon Jennings</v>
      </c>
      <c r="G15" s="42" t="str">
        <f>'DraftKings Basketball  Solver'!O18</f>
        <v>Jameer Nelson</v>
      </c>
      <c r="H15" s="41" t="str">
        <f>'DraftKings Basketball  Solver'!O19</f>
        <v>Klay Thompson</v>
      </c>
      <c r="I15" s="42" t="str">
        <f>'DraftKings Basketball  Solver'!O20</f>
        <v>Bradley Beal</v>
      </c>
      <c r="J15" s="41" t="str">
        <f>'DraftKings Basketball  Solver'!O25</f>
        <v>Brook Lopez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11</v>
      </c>
      <c r="C16" s="15"/>
      <c r="D16" s="39">
        <f>'DraftKings Basketball  Solver'!O8</f>
        <v>60000</v>
      </c>
      <c r="E16" s="36"/>
      <c r="F16" s="42"/>
      <c r="G16" s="42"/>
      <c r="H16" s="42"/>
      <c r="I16" s="42"/>
      <c r="J16" s="42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2" t="str">
        <f>'DraftKings Basketball  Solver'!O21</f>
        <v>Kawhi Leonard</v>
      </c>
      <c r="G17" s="41" t="str">
        <f>'DraftKings Basketball  Solver'!O22</f>
        <v>Wilson Chandler</v>
      </c>
      <c r="H17" s="42" t="str">
        <f>'DraftKings Basketball  Solver'!O23</f>
        <v>JaMychal Green</v>
      </c>
      <c r="I17" s="41" t="str">
        <f>'DraftKings Basketball  Solver'!O24</f>
        <v>Draymond Green</v>
      </c>
      <c r="J17" s="42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FanduelExcel</vt:lpstr>
      <vt:lpstr>MaxData</vt:lpstr>
      <vt:lpstr>FanduelExcelSub</vt:lpstr>
      <vt:lpstr>OrganizedData</vt:lpstr>
      <vt:lpstr>Optimizer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2017-02-16T23:49:14Z</dcterms:modified>
</cp:coreProperties>
</file>