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 activeTab="1"/>
  </bookViews>
  <sheets>
    <sheet name="Fanduel MLB Solver" sheetId="2" r:id="rId1"/>
    <sheet name="Optimizer" sheetId="4" r:id="rId2"/>
    <sheet name="Pitchers" sheetId="14" r:id="rId3"/>
    <sheet name="Batters" sheetId="15" r:id="rId4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Solver'!$R$7</definedName>
    <definedName name="solver_lhs10" localSheetId="0" hidden="1">'Fanduel MLB Solver'!$Q$10</definedName>
    <definedName name="solver_lhs11" localSheetId="0" hidden="1">'Fanduel MLB Solver'!$R$7</definedName>
    <definedName name="solver_lhs12" localSheetId="0" hidden="1">'Fanduel MLB Solver'!$R$6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Solver'!$R$2</definedName>
    <definedName name="solver_lhs3" localSheetId="0" hidden="1">'Fanduel MLB Solver'!$Q$16</definedName>
    <definedName name="solver_lhs4" localSheetId="0" hidden="1">'Fanduel MLB Solver'!$R$4</definedName>
    <definedName name="solver_lhs5" localSheetId="0" hidden="1">'Fanduel MLB Solver'!$R$5</definedName>
    <definedName name="solver_lhs6" localSheetId="0" hidden="1">'Fanduel MLB Solver'!$R$3</definedName>
    <definedName name="solver_lhs7" localSheetId="0" hidden="1">'Fanduel MLB Solver'!$R$6</definedName>
    <definedName name="solver_lhs8" localSheetId="0" hidden="1">'Fanduel MLB Solver'!$C$2:$C$200</definedName>
    <definedName name="solver_lhs9" localSheetId="0" hidden="1">'Fanduel MLB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'Fanduel MLB Solver'!$Q$4</definedName>
    <definedName name="solver_rhs1" localSheetId="0" hidden="1">'Fanduel MLB Solver'!$Q$7</definedName>
    <definedName name="solver_rhs10" localSheetId="0" hidden="1">'Fanduel MLB Solver'!$Q$11</definedName>
    <definedName name="solver_rhs11" localSheetId="0" hidden="1">'Fanduel MLB Solver'!$Q$7</definedName>
    <definedName name="solver_rhs12" localSheetId="0" hidden="1">'Fanduel MLB Solver'!$Q$6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Solver'!$Q$2</definedName>
    <definedName name="solver_rhs3" localSheetId="0" hidden="1">'Fanduel MLB Solver'!$Q$15</definedName>
    <definedName name="solver_rhs4" localSheetId="0" hidden="1">'Fanduel MLB Solver'!$Q$4</definedName>
    <definedName name="solver_rhs5" localSheetId="0" hidden="1">'Fanduel MLB Solver'!$Q$5</definedName>
    <definedName name="solver_rhs6" localSheetId="0" hidden="1">'Fanduel MLB Solver'!$Q$3</definedName>
    <definedName name="solver_rhs7" localSheetId="0" hidden="1">'Fanduel MLB Solver'!$Q$6</definedName>
    <definedName name="solver_rhs8" localSheetId="0" hidden="1">binary</definedName>
    <definedName name="solver_rhs9" localSheetId="0" hidden="1">'Fanduel MLB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H17" i="4" l="1"/>
  <c r="G17" i="4"/>
  <c r="F17" i="4"/>
  <c r="I15" i="4"/>
  <c r="H15" i="4"/>
  <c r="G15" i="4"/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2" i="2" l="1"/>
  <c r="R30" i="2"/>
  <c r="Q29" i="2"/>
  <c r="R26" i="2"/>
  <c r="Q25" i="2"/>
  <c r="R31" i="2"/>
  <c r="Q30" i="2"/>
  <c r="R27" i="2"/>
  <c r="Q26" i="2"/>
  <c r="R24" i="2"/>
  <c r="R29" i="2"/>
  <c r="Q28" i="2"/>
  <c r="R25" i="2"/>
  <c r="R32" i="2"/>
  <c r="Q31" i="2"/>
  <c r="R28" i="2"/>
  <c r="Q27" i="2"/>
  <c r="Q24" i="2"/>
  <c r="F15" i="4" l="1"/>
</calcChain>
</file>

<file path=xl/sharedStrings.xml><?xml version="1.0" encoding="utf-8"?>
<sst xmlns="http://schemas.openxmlformats.org/spreadsheetml/2006/main" count="315" uniqueCount="107">
  <si>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</si>
  <si>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</si>
  <si>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</si>
  <si>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</si>
  <si>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</si>
  <si>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</si>
  <si>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</si>
  <si>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</si>
  <si>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</si>
  <si>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</si>
  <si>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</si>
  <si>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</si>
  <si>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</si>
  <si>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</si>
  <si>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</si>
  <si>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</si>
  <si>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</si>
  <si>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</si>
  <si>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OF</t>
  </si>
  <si>
    <t>P</t>
  </si>
  <si>
    <t>2B</t>
  </si>
  <si>
    <t>3B</t>
  </si>
  <si>
    <t>SS</t>
  </si>
  <si>
    <t>1B</t>
  </si>
  <si>
    <t>Justin Verlander</t>
  </si>
  <si>
    <t>Julio Urias</t>
  </si>
  <si>
    <t>A.J. Griffin</t>
  </si>
  <si>
    <t>Mike Trout</t>
  </si>
  <si>
    <t>DJ LeMahieu</t>
  </si>
  <si>
    <t>Nolan Arenado</t>
  </si>
  <si>
    <t>Miguel Cabrera</t>
  </si>
  <si>
    <t>Charlie Blackmon</t>
  </si>
  <si>
    <t>Carlos Gonzalez</t>
  </si>
  <si>
    <t>Ian Kinsler</t>
  </si>
  <si>
    <t>Kendall Graveman</t>
  </si>
  <si>
    <t>J.D. Martinez</t>
  </si>
  <si>
    <t>Cameron Maybin</t>
  </si>
  <si>
    <t>Elvis Andrus</t>
  </si>
  <si>
    <t>Justin Upton</t>
  </si>
  <si>
    <t>Jonathan Lucroy</t>
  </si>
  <si>
    <t>Carlos Gomez</t>
  </si>
  <si>
    <t>Mark Reynolds</t>
  </si>
  <si>
    <t>Nomar Mazara</t>
  </si>
  <si>
    <t>Victor Martinez</t>
  </si>
  <si>
    <t>Mike Napoli</t>
  </si>
  <si>
    <t>Rajai Davis</t>
  </si>
  <si>
    <t>Alex Meyer</t>
  </si>
  <si>
    <t>Antonio Senzatela</t>
  </si>
  <si>
    <t>C.J. Cron</t>
  </si>
  <si>
    <t>Luis Valbuena</t>
  </si>
  <si>
    <t>Kole Calhoun</t>
  </si>
  <si>
    <t>Corey Seager</t>
  </si>
  <si>
    <t>Trevor Plouffe</t>
  </si>
  <si>
    <t>Rougned Odor</t>
  </si>
  <si>
    <t>Ian Desmond</t>
  </si>
  <si>
    <t>Adam Rosales</t>
  </si>
  <si>
    <t>Delino DeShields</t>
  </si>
  <si>
    <t>Joc Pederson</t>
  </si>
  <si>
    <t>Ryon Healy</t>
  </si>
  <si>
    <t>Dustin Garneau</t>
  </si>
  <si>
    <t>Chase Utley</t>
  </si>
  <si>
    <t>James McCann</t>
  </si>
  <si>
    <t>Ben Revere</t>
  </si>
  <si>
    <t>Matt Joyce</t>
  </si>
  <si>
    <t>Joey Gallo</t>
  </si>
  <si>
    <t>Justin Turner</t>
  </si>
  <si>
    <t>Yasiel Puig</t>
  </si>
  <si>
    <t>Danny Espinosa</t>
  </si>
  <si>
    <t>Yasmani Grandal</t>
  </si>
  <si>
    <t>Pat Valaika</t>
  </si>
  <si>
    <t>Stephen Vogt</t>
  </si>
  <si>
    <t>Andrew Romine</t>
  </si>
  <si>
    <t>Ryan Rua</t>
  </si>
  <si>
    <t>Chris Taylor</t>
  </si>
  <si>
    <t>Dixon Machado</t>
  </si>
  <si>
    <t>Yonder Alonso</t>
  </si>
  <si>
    <t>Andrelton Simmons</t>
  </si>
  <si>
    <t>Mark Canha</t>
  </si>
  <si>
    <t>Juan Graterol</t>
  </si>
  <si>
    <t>Jed Lowrie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</si>
  <si>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</si>
  <si>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</si>
  <si>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</si>
  <si>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</si>
  <si>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</si>
  <si>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</si>
  <si>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</si>
  <si>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</si>
  <si>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</si>
  <si>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Probable Pitcher</t>
  </si>
  <si>
    <t>Last 30</t>
  </si>
  <si>
    <t>2016 Season</t>
  </si>
  <si>
    <t>Opponent Multiplier</t>
  </si>
  <si>
    <t>LAA</t>
  </si>
  <si>
    <t>OAK</t>
  </si>
  <si>
    <t>TEX</t>
  </si>
  <si>
    <t>COL</t>
  </si>
  <si>
    <t>LOS</t>
  </si>
  <si>
    <t>DET</t>
  </si>
  <si>
    <t xml:space="preserve">2017 Season </t>
  </si>
  <si>
    <t xml:space="preserve">Opponent </t>
  </si>
  <si>
    <t>Batter</t>
  </si>
  <si>
    <t>Last 7</t>
  </si>
  <si>
    <t>Park Multiplier</t>
  </si>
  <si>
    <t>Cody Bellinger</t>
  </si>
  <si>
    <t>Nicholas Castellanos</t>
  </si>
  <si>
    <t>Injury?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</si>
</sst>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opLeftCell="D13" zoomScale="106" zoomScaleNormal="106" workbookViewId="0">
      <selection activeCell="R24" sqref="R24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19</v>
      </c>
      <c r="I1" s="2" t="s">
        <v>18</v>
      </c>
      <c r="J1" s="2" t="s">
        <v>20</v>
      </c>
      <c r="K1" s="2" t="s">
        <v>21</v>
      </c>
      <c r="L1" s="2" t="s">
        <v>1</v>
      </c>
      <c r="M1" s="2" t="s">
        <v>22</v>
      </c>
      <c r="N1" s="2" t="s">
        <v>23</v>
      </c>
      <c r="P1" s="2" t="s">
        <v>0</v>
      </c>
      <c r="Q1" s="2" t="s">
        <v>8</v>
      </c>
      <c r="R1" s="2" t="s">
        <v>9</v>
      </c>
    </row>
    <row r="2" spans="1:18" x14ac:dyDescent="0.25">
      <c r="A2" s="1" t="str">
        <f>IF(C2=1,D2,0)</f>
        <v>P</v>
      </c>
      <c r="B2" s="1" t="str">
        <f>IF(C2=0,0,A2&amp;" "&amp;COUNTIF($A$1:$A2,A2))</f>
        <v>P 1</v>
      </c>
      <c r="C2" s="1">
        <v>1</v>
      </c>
      <c r="D2" s="42" t="s">
        <v>19</v>
      </c>
      <c r="E2" s="2" t="s">
        <v>26</v>
      </c>
      <c r="F2" s="2">
        <v>40.553333330000001</v>
      </c>
      <c r="G2" s="2">
        <v>8300</v>
      </c>
      <c r="H2" s="2">
        <f>IF($D2=H$1,$C2*1,0)</f>
        <v>1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19</v>
      </c>
      <c r="Q2" s="2">
        <v>1</v>
      </c>
      <c r="R2" s="2">
        <f>SUM(H2:H200)</f>
        <v>1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19</v>
      </c>
      <c r="E3" s="2" t="s">
        <v>24</v>
      </c>
      <c r="F3" s="2">
        <v>27.214285709999999</v>
      </c>
      <c r="G3" s="2">
        <v>9500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18</v>
      </c>
      <c r="Q3" s="2">
        <v>3</v>
      </c>
      <c r="R3" s="2">
        <f>SUM(I2:I339)</f>
        <v>3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19</v>
      </c>
      <c r="E4" s="2" t="s">
        <v>47</v>
      </c>
      <c r="F4" s="2">
        <v>25.542857139999999</v>
      </c>
      <c r="G4" s="2">
        <v>6700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20</v>
      </c>
      <c r="Q4" s="2">
        <v>1</v>
      </c>
      <c r="R4" s="2">
        <f>SUM(J2:J339)</f>
        <v>1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19</v>
      </c>
      <c r="E5" s="2" t="s">
        <v>25</v>
      </c>
      <c r="F5" s="2">
        <v>25</v>
      </c>
      <c r="G5" s="2">
        <v>7400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21</v>
      </c>
      <c r="Q5" s="2">
        <v>1</v>
      </c>
      <c r="R5" s="2">
        <f>SUM(K2:K339)</f>
        <v>1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19</v>
      </c>
      <c r="E6" s="2" t="s">
        <v>34</v>
      </c>
      <c r="F6" s="2">
        <v>19.733333330000001</v>
      </c>
      <c r="G6" s="2">
        <v>7500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1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19</v>
      </c>
      <c r="E7" s="2">
        <v>0</v>
      </c>
      <c r="F7" s="2">
        <v>0</v>
      </c>
      <c r="G7" s="2">
        <v>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22</v>
      </c>
      <c r="Q7" s="2">
        <v>1</v>
      </c>
      <c r="R7" s="2">
        <f>SUM(M2:M339)</f>
        <v>1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19</v>
      </c>
      <c r="E8" s="2">
        <v>0</v>
      </c>
      <c r="F8" s="2">
        <v>0</v>
      </c>
      <c r="G8" s="2">
        <v>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23</v>
      </c>
      <c r="Q8" s="2">
        <v>1</v>
      </c>
      <c r="R8" s="2">
        <f>SUM(N2:N339)</f>
        <v>1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19</v>
      </c>
      <c r="E9" s="2">
        <v>0</v>
      </c>
      <c r="F9" s="2">
        <v>0</v>
      </c>
      <c r="G9" s="2">
        <v>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19</v>
      </c>
      <c r="E10" s="2">
        <v>0</v>
      </c>
      <c r="F10" s="2">
        <v>0</v>
      </c>
      <c r="G10" s="2">
        <v>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38700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19</v>
      </c>
      <c r="E11" s="2">
        <v>0</v>
      </c>
      <c r="F11" s="2">
        <v>0</v>
      </c>
      <c r="G11" s="2">
        <v>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v>60000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19</v>
      </c>
      <c r="E12" s="2">
        <v>0</v>
      </c>
      <c r="F12" s="2">
        <v>0</v>
      </c>
      <c r="G12" s="2">
        <v>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19</v>
      </c>
      <c r="E13" s="2">
        <v>0</v>
      </c>
      <c r="F13" s="2">
        <v>0</v>
      </c>
      <c r="G13" s="2">
        <v>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145.140270466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19</v>
      </c>
      <c r="E14" s="2">
        <v>0</v>
      </c>
      <c r="F14" s="2">
        <v>0</v>
      </c>
      <c r="G14" s="2">
        <v>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19</v>
      </c>
      <c r="E15" s="2">
        <v>0</v>
      </c>
      <c r="F15" s="2">
        <v>0</v>
      </c>
      <c r="G15" s="2">
        <v>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19</v>
      </c>
      <c r="E16" s="2">
        <v>0</v>
      </c>
      <c r="F16" s="2">
        <v>0</v>
      </c>
      <c r="G16" s="2">
        <v>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9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19</v>
      </c>
      <c r="E17" s="2">
        <v>0</v>
      </c>
      <c r="F17" s="2">
        <v>0</v>
      </c>
      <c r="G17" s="2">
        <v>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19</v>
      </c>
      <c r="E18" s="2">
        <v>0</v>
      </c>
      <c r="F18" s="2">
        <v>0</v>
      </c>
      <c r="G18" s="2">
        <v>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19</v>
      </c>
      <c r="E19" s="2">
        <v>0</v>
      </c>
      <c r="F19" s="2">
        <v>0</v>
      </c>
      <c r="G19" s="2">
        <v>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19</v>
      </c>
      <c r="E20" s="2">
        <v>0</v>
      </c>
      <c r="F20" s="2">
        <v>0</v>
      </c>
      <c r="G20" s="2">
        <v>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19</v>
      </c>
      <c r="E21" s="2">
        <v>0</v>
      </c>
      <c r="F21" s="2">
        <v>0</v>
      </c>
      <c r="G21" s="2">
        <v>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19</v>
      </c>
      <c r="E22" s="2">
        <v>0</v>
      </c>
      <c r="F22" s="2">
        <v>0</v>
      </c>
      <c r="G22" s="2">
        <v>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19</v>
      </c>
      <c r="E23" s="2">
        <v>0</v>
      </c>
      <c r="F23" s="2">
        <v>0</v>
      </c>
      <c r="G23" s="2">
        <v>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19</v>
      </c>
      <c r="E24" s="2">
        <v>0</v>
      </c>
      <c r="F24" s="2">
        <v>0</v>
      </c>
      <c r="G24" s="2">
        <v>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80</v>
      </c>
      <c r="Q24" s="2" t="str">
        <f>VLOOKUP(P24,$B$2:$F$200,4,FALSE)</f>
        <v>A.J. Griffin</v>
      </c>
      <c r="R24" s="2">
        <f>VLOOKUP(P24,$B$2:$F$200,5,FALSE)</f>
        <v>40.553333330000001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19</v>
      </c>
      <c r="E25" s="2">
        <v>0</v>
      </c>
      <c r="F25" s="2">
        <v>0</v>
      </c>
      <c r="G25" s="2">
        <v>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81</v>
      </c>
      <c r="Q25" s="2" t="str">
        <f>VLOOKUP(P25,$B$2:$F$200,4,FALSE)</f>
        <v>Mike Trout</v>
      </c>
      <c r="R25" s="2">
        <f>VLOOKUP(P25,$B$2:$F$200,5,FALSE)</f>
        <v>16.25858586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19</v>
      </c>
      <c r="E26" s="2">
        <v>0</v>
      </c>
      <c r="F26" s="2">
        <v>0</v>
      </c>
      <c r="G26" s="2">
        <v>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82</v>
      </c>
      <c r="Q26" s="2" t="str">
        <f>VLOOKUP(P26,$B$2:$F$200,4,FALSE)</f>
        <v>Justin Upton</v>
      </c>
      <c r="R26" s="2">
        <f>VLOOKUP(P26,$B$2:$F$200,5,FALSE)</f>
        <v>13.85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19</v>
      </c>
      <c r="E27" s="2">
        <v>0</v>
      </c>
      <c r="F27" s="2">
        <v>0</v>
      </c>
      <c r="G27" s="2">
        <v>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88</v>
      </c>
      <c r="Q27" s="2" t="str">
        <f>VLOOKUP(P27,$B$2:$F$200,4,FALSE)</f>
        <v>Charlie Blackmon</v>
      </c>
      <c r="R27" s="2">
        <f>VLOOKUP(P27,$B$2:$F$200,5,FALSE)</f>
        <v>11.46966967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19</v>
      </c>
      <c r="E28" s="2">
        <v>0</v>
      </c>
      <c r="F28" s="2">
        <v>0</v>
      </c>
      <c r="G28" s="2">
        <v>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83</v>
      </c>
      <c r="Q28" s="2" t="str">
        <f>VLOOKUP(P28,$B$2:$F$200,4,FALSE)</f>
        <v>Jed Lowrie</v>
      </c>
      <c r="R28" s="2">
        <f>VLOOKUP(P28,$B$2:$F$200,5,FALSE)</f>
        <v>11.6384127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19</v>
      </c>
      <c r="E29" s="2">
        <v>0</v>
      </c>
      <c r="F29" s="2">
        <v>0</v>
      </c>
      <c r="G29" s="2">
        <v>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84</v>
      </c>
      <c r="Q29" s="2" t="str">
        <f>VLOOKUP(P29,$B$2:$F$200,4,FALSE)</f>
        <v>Joey Gallo</v>
      </c>
      <c r="R29" s="2">
        <f>VLOOKUP(P29,$B$2:$F$200,5,FALSE)</f>
        <v>11.861027569999999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19</v>
      </c>
      <c r="E30" s="2">
        <v>0</v>
      </c>
      <c r="F30" s="2">
        <v>0</v>
      </c>
      <c r="G30" s="2">
        <v>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85</v>
      </c>
      <c r="Q30" s="2" t="str">
        <f>VLOOKUP(P30,$B$2:$F$200,4,FALSE)</f>
        <v>Yasmani Grandal</v>
      </c>
      <c r="R30" s="2">
        <f>VLOOKUP(P30,$B$2:$F$200,5,FALSE)</f>
        <v>14.697204299999999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19</v>
      </c>
      <c r="E31" s="2">
        <v>0</v>
      </c>
      <c r="F31" s="2">
        <v>0</v>
      </c>
      <c r="G31" s="2">
        <v>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86</v>
      </c>
      <c r="Q31" s="2" t="str">
        <f>VLOOKUP(P31,$B$2:$F$200,4,FALSE)</f>
        <v>Corey Seager</v>
      </c>
      <c r="R31" s="2">
        <f>VLOOKUP(P31,$B$2:$F$200,5,FALSE)</f>
        <v>9.5509259259999997</v>
      </c>
    </row>
    <row r="32" spans="1:18" x14ac:dyDescent="0.25">
      <c r="A32" s="1" t="str">
        <f t="shared" si="1"/>
        <v>1B</v>
      </c>
      <c r="B32" s="2" t="str">
        <f>IF(C32=0,0,A32&amp;" "&amp;COUNTIF($A$1:$A32,A32))</f>
        <v>1B 1</v>
      </c>
      <c r="C32" s="1">
        <v>1</v>
      </c>
      <c r="D32" s="2" t="s">
        <v>23</v>
      </c>
      <c r="E32" s="2" t="s">
        <v>75</v>
      </c>
      <c r="F32" s="2">
        <v>15.26111111</v>
      </c>
      <c r="G32" s="2">
        <v>3600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1</v>
      </c>
      <c r="P32" s="2" t="s">
        <v>87</v>
      </c>
      <c r="Q32" s="2" t="str">
        <f>VLOOKUP(P32,$B$2:$F$200,4,FALSE)</f>
        <v>Yonder Alonso</v>
      </c>
      <c r="R32" s="2">
        <f>VLOOKUP(P32,$B$2:$F$200,5,FALSE)</f>
        <v>15.26111111</v>
      </c>
    </row>
    <row r="33" spans="1:14" x14ac:dyDescent="0.25">
      <c r="A33" s="1" t="str">
        <f t="shared" si="1"/>
        <v>C</v>
      </c>
      <c r="B33" s="2" t="str">
        <f>IF(C33=0,0,A33&amp;" "&amp;COUNTIF($A$1:$A33,A33))</f>
        <v>C 1</v>
      </c>
      <c r="C33" s="1">
        <v>1</v>
      </c>
      <c r="D33" s="2" t="s">
        <v>1</v>
      </c>
      <c r="E33" s="2" t="s">
        <v>68</v>
      </c>
      <c r="F33" s="2">
        <v>14.697204299999999</v>
      </c>
      <c r="G33" s="2">
        <v>4000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1</v>
      </c>
      <c r="M33" s="2">
        <f t="shared" si="2"/>
        <v>0</v>
      </c>
      <c r="N33" s="2">
        <f t="shared" si="2"/>
        <v>0</v>
      </c>
    </row>
    <row r="34" spans="1:14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D34" s="2" t="s">
        <v>18</v>
      </c>
      <c r="E34" s="2" t="s">
        <v>66</v>
      </c>
      <c r="F34" s="2">
        <v>9.8390476190000005</v>
      </c>
      <c r="G34" s="2">
        <v>3900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4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D35" s="2" t="s">
        <v>1</v>
      </c>
      <c r="E35" s="2" t="s">
        <v>43</v>
      </c>
      <c r="F35" s="2">
        <v>7.5139393940000003</v>
      </c>
      <c r="G35" s="2">
        <v>3100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4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D36" s="2" t="s">
        <v>21</v>
      </c>
      <c r="E36" s="2" t="s">
        <v>52</v>
      </c>
      <c r="F36" s="2">
        <v>9.5787581700000004</v>
      </c>
      <c r="G36" s="2">
        <v>2600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4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D37" s="2" t="s">
        <v>1</v>
      </c>
      <c r="E37" s="2" t="s">
        <v>70</v>
      </c>
      <c r="F37" s="2">
        <v>0</v>
      </c>
      <c r="G37" s="2">
        <v>2500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4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23</v>
      </c>
      <c r="E38" s="2" t="s">
        <v>58</v>
      </c>
      <c r="F38" s="2">
        <v>8.6234920630000005</v>
      </c>
      <c r="G38" s="2">
        <v>3100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4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D39" s="2" t="s">
        <v>18</v>
      </c>
      <c r="E39" s="2" t="s">
        <v>72</v>
      </c>
      <c r="F39" s="2">
        <v>5.5439560439999997</v>
      </c>
      <c r="G39" s="2">
        <v>2300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3">IF($D39=K$1,$C39*1,0)</f>
        <v>0</v>
      </c>
      <c r="L39" s="2">
        <f t="shared" si="3"/>
        <v>0</v>
      </c>
      <c r="M39" s="2">
        <f t="shared" si="3"/>
        <v>0</v>
      </c>
      <c r="N39" s="2">
        <f t="shared" si="3"/>
        <v>0</v>
      </c>
    </row>
    <row r="40" spans="1:14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20</v>
      </c>
      <c r="E40" s="2" t="s">
        <v>53</v>
      </c>
      <c r="F40" s="2">
        <v>8.6966165409999991</v>
      </c>
      <c r="G40" s="2">
        <v>3100</v>
      </c>
      <c r="H40" s="2">
        <f t="shared" si="3"/>
        <v>0</v>
      </c>
      <c r="I40" s="2">
        <f t="shared" si="3"/>
        <v>0</v>
      </c>
      <c r="J40" s="2">
        <f t="shared" si="3"/>
        <v>0</v>
      </c>
      <c r="K40" s="2">
        <f t="shared" si="3"/>
        <v>0</v>
      </c>
      <c r="L40" s="2">
        <f t="shared" si="3"/>
        <v>0</v>
      </c>
      <c r="M40" s="2">
        <f t="shared" si="3"/>
        <v>0</v>
      </c>
      <c r="N40" s="2">
        <f t="shared" si="3"/>
        <v>0</v>
      </c>
    </row>
    <row r="41" spans="1:14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D41" s="2" t="s">
        <v>18</v>
      </c>
      <c r="E41" s="2" t="s">
        <v>45</v>
      </c>
      <c r="F41" s="2">
        <v>9.5893333330000008</v>
      </c>
      <c r="G41" s="2">
        <v>2800</v>
      </c>
      <c r="H41" s="2">
        <f t="shared" si="3"/>
        <v>0</v>
      </c>
      <c r="I41" s="2">
        <f t="shared" si="3"/>
        <v>0</v>
      </c>
      <c r="J41" s="2">
        <f t="shared" si="3"/>
        <v>0</v>
      </c>
      <c r="K41" s="2">
        <f t="shared" si="3"/>
        <v>0</v>
      </c>
      <c r="L41" s="2">
        <f t="shared" si="3"/>
        <v>0</v>
      </c>
      <c r="M41" s="2">
        <f t="shared" si="3"/>
        <v>0</v>
      </c>
      <c r="N41" s="2">
        <f t="shared" si="3"/>
        <v>0</v>
      </c>
    </row>
    <row r="42" spans="1:14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22</v>
      </c>
      <c r="E42" s="2" t="s">
        <v>69</v>
      </c>
      <c r="F42" s="2">
        <v>5.7721804509999997</v>
      </c>
      <c r="G42" s="2">
        <v>3100</v>
      </c>
      <c r="H42" s="2">
        <f t="shared" si="3"/>
        <v>0</v>
      </c>
      <c r="I42" s="2">
        <f t="shared" si="3"/>
        <v>0</v>
      </c>
      <c r="J42" s="2">
        <f t="shared" si="3"/>
        <v>0</v>
      </c>
      <c r="K42" s="2">
        <f t="shared" si="3"/>
        <v>0</v>
      </c>
      <c r="L42" s="2">
        <f t="shared" si="3"/>
        <v>0</v>
      </c>
      <c r="M42" s="2">
        <f t="shared" si="3"/>
        <v>0</v>
      </c>
      <c r="N42" s="2">
        <f t="shared" si="3"/>
        <v>0</v>
      </c>
    </row>
    <row r="43" spans="1:14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18</v>
      </c>
      <c r="E43" s="2" t="s">
        <v>42</v>
      </c>
      <c r="F43" s="2">
        <v>10.10380952</v>
      </c>
      <c r="G43" s="2">
        <v>3300</v>
      </c>
      <c r="H43" s="2">
        <f t="shared" si="3"/>
        <v>0</v>
      </c>
      <c r="I43" s="2">
        <f t="shared" si="3"/>
        <v>0</v>
      </c>
      <c r="J43" s="2">
        <f t="shared" si="3"/>
        <v>0</v>
      </c>
      <c r="K43" s="2">
        <f t="shared" si="3"/>
        <v>0</v>
      </c>
      <c r="L43" s="2">
        <f t="shared" si="3"/>
        <v>0</v>
      </c>
      <c r="M43" s="2">
        <f t="shared" si="3"/>
        <v>0</v>
      </c>
      <c r="N43" s="2">
        <f t="shared" si="3"/>
        <v>0</v>
      </c>
    </row>
    <row r="44" spans="1:14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21</v>
      </c>
      <c r="E44" s="2" t="s">
        <v>29</v>
      </c>
      <c r="F44" s="2">
        <v>11.01171171</v>
      </c>
      <c r="G44" s="2">
        <v>4900</v>
      </c>
      <c r="H44" s="2">
        <f t="shared" si="3"/>
        <v>0</v>
      </c>
      <c r="I44" s="2">
        <f t="shared" si="3"/>
        <v>0</v>
      </c>
      <c r="J44" s="2">
        <f t="shared" si="3"/>
        <v>0</v>
      </c>
      <c r="K44" s="2">
        <f t="shared" si="3"/>
        <v>0</v>
      </c>
      <c r="L44" s="2">
        <f t="shared" si="3"/>
        <v>0</v>
      </c>
      <c r="M44" s="2">
        <f t="shared" si="3"/>
        <v>0</v>
      </c>
      <c r="N44" s="2">
        <f t="shared" si="3"/>
        <v>0</v>
      </c>
    </row>
    <row r="45" spans="1:14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21</v>
      </c>
      <c r="E45" s="2" t="s">
        <v>105</v>
      </c>
      <c r="F45" s="2">
        <v>0</v>
      </c>
      <c r="G45" s="2">
        <v>3400</v>
      </c>
      <c r="H45" s="2">
        <f t="shared" si="3"/>
        <v>0</v>
      </c>
      <c r="I45" s="2">
        <f t="shared" si="3"/>
        <v>0</v>
      </c>
      <c r="J45" s="2">
        <f t="shared" si="3"/>
        <v>0</v>
      </c>
      <c r="K45" s="2">
        <f t="shared" si="3"/>
        <v>0</v>
      </c>
      <c r="L45" s="2">
        <f t="shared" si="3"/>
        <v>0</v>
      </c>
      <c r="M45" s="2">
        <f t="shared" si="3"/>
        <v>0</v>
      </c>
      <c r="N45" s="2">
        <f t="shared" si="3"/>
        <v>0</v>
      </c>
    </row>
    <row r="46" spans="1:14" x14ac:dyDescent="0.25">
      <c r="A46" s="1" t="str">
        <f t="shared" si="1"/>
        <v>OF</v>
      </c>
      <c r="B46" s="2" t="str">
        <f>IF(C46=0,0,A46&amp;" "&amp;COUNTIF($A$1:$A46,A46))</f>
        <v>OF 1</v>
      </c>
      <c r="C46" s="1">
        <v>1</v>
      </c>
      <c r="D46" s="2" t="s">
        <v>18</v>
      </c>
      <c r="E46" s="2" t="s">
        <v>27</v>
      </c>
      <c r="F46" s="2">
        <v>16.25858586</v>
      </c>
      <c r="G46" s="2">
        <v>4800</v>
      </c>
      <c r="H46" s="2">
        <f t="shared" si="3"/>
        <v>0</v>
      </c>
      <c r="I46" s="2">
        <f t="shared" si="3"/>
        <v>1</v>
      </c>
      <c r="J46" s="2">
        <f t="shared" si="3"/>
        <v>0</v>
      </c>
      <c r="K46" s="2">
        <f t="shared" si="3"/>
        <v>0</v>
      </c>
      <c r="L46" s="2">
        <f t="shared" si="3"/>
        <v>0</v>
      </c>
      <c r="M46" s="2">
        <f t="shared" si="3"/>
        <v>0</v>
      </c>
      <c r="N46" s="2">
        <f t="shared" si="3"/>
        <v>0</v>
      </c>
    </row>
    <row r="47" spans="1:14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23</v>
      </c>
      <c r="E47" s="2" t="s">
        <v>44</v>
      </c>
      <c r="F47" s="2">
        <v>10.061111110000001</v>
      </c>
      <c r="G47" s="2">
        <v>3200</v>
      </c>
      <c r="H47" s="2">
        <f t="shared" si="3"/>
        <v>0</v>
      </c>
      <c r="I47" s="2">
        <f t="shared" si="3"/>
        <v>0</v>
      </c>
      <c r="J47" s="2">
        <f t="shared" si="3"/>
        <v>0</v>
      </c>
      <c r="K47" s="2">
        <f t="shared" si="3"/>
        <v>0</v>
      </c>
      <c r="L47" s="2">
        <f t="shared" si="3"/>
        <v>0</v>
      </c>
      <c r="M47" s="2">
        <f t="shared" si="3"/>
        <v>0</v>
      </c>
      <c r="N47" s="2">
        <f t="shared" si="3"/>
        <v>0</v>
      </c>
    </row>
    <row r="48" spans="1:14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D48" s="2" t="s">
        <v>23</v>
      </c>
      <c r="E48" s="2" t="s">
        <v>30</v>
      </c>
      <c r="F48" s="2">
        <v>7.2495726500000002</v>
      </c>
      <c r="G48" s="2">
        <v>3900</v>
      </c>
      <c r="H48" s="2">
        <f t="shared" si="3"/>
        <v>0</v>
      </c>
      <c r="I48" s="2">
        <f t="shared" si="3"/>
        <v>0</v>
      </c>
      <c r="J48" s="2">
        <f t="shared" si="3"/>
        <v>0</v>
      </c>
      <c r="K48" s="2">
        <f t="shared" si="3"/>
        <v>0</v>
      </c>
      <c r="L48" s="2">
        <f t="shared" si="3"/>
        <v>0</v>
      </c>
      <c r="M48" s="2">
        <f t="shared" si="3"/>
        <v>0</v>
      </c>
      <c r="N48" s="2">
        <f t="shared" si="3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18</v>
      </c>
      <c r="E49" s="2" t="s">
        <v>63</v>
      </c>
      <c r="F49" s="2">
        <v>7.3417204299999996</v>
      </c>
      <c r="G49" s="2">
        <v>2600</v>
      </c>
      <c r="H49" s="2">
        <f t="shared" si="3"/>
        <v>0</v>
      </c>
      <c r="I49" s="2">
        <f t="shared" si="3"/>
        <v>0</v>
      </c>
      <c r="J49" s="2">
        <f t="shared" si="3"/>
        <v>0</v>
      </c>
      <c r="K49" s="2">
        <f t="shared" si="3"/>
        <v>0</v>
      </c>
      <c r="L49" s="2">
        <f t="shared" si="3"/>
        <v>0</v>
      </c>
      <c r="M49" s="2">
        <f t="shared" si="3"/>
        <v>0</v>
      </c>
      <c r="N49" s="2">
        <f t="shared" si="3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23</v>
      </c>
      <c r="E50" s="2" t="s">
        <v>41</v>
      </c>
      <c r="F50" s="2">
        <v>15.18700129</v>
      </c>
      <c r="G50" s="2">
        <v>4400</v>
      </c>
      <c r="H50" s="2">
        <f t="shared" si="3"/>
        <v>0</v>
      </c>
      <c r="I50" s="2">
        <f t="shared" si="3"/>
        <v>0</v>
      </c>
      <c r="J50" s="2">
        <f t="shared" si="3"/>
        <v>0</v>
      </c>
      <c r="K50" s="2">
        <f t="shared" si="3"/>
        <v>0</v>
      </c>
      <c r="L50" s="2">
        <f t="shared" si="3"/>
        <v>0</v>
      </c>
      <c r="M50" s="2">
        <f t="shared" si="3"/>
        <v>0</v>
      </c>
      <c r="N50" s="2">
        <f t="shared" si="3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18</v>
      </c>
      <c r="E51" s="2" t="s">
        <v>77</v>
      </c>
      <c r="F51" s="2">
        <v>0</v>
      </c>
      <c r="G51" s="2">
        <v>2200</v>
      </c>
      <c r="H51" s="2">
        <f t="shared" si="3"/>
        <v>0</v>
      </c>
      <c r="I51" s="2">
        <f t="shared" si="3"/>
        <v>0</v>
      </c>
      <c r="J51" s="2">
        <f t="shared" si="3"/>
        <v>0</v>
      </c>
      <c r="K51" s="2">
        <f t="shared" si="3"/>
        <v>0</v>
      </c>
      <c r="L51" s="2">
        <f t="shared" si="3"/>
        <v>0</v>
      </c>
      <c r="M51" s="2">
        <f t="shared" si="3"/>
        <v>0</v>
      </c>
      <c r="N51" s="2">
        <f t="shared" si="3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D52" s="2" t="s">
        <v>23</v>
      </c>
      <c r="E52" s="2" t="s">
        <v>49</v>
      </c>
      <c r="F52" s="2">
        <v>9.3377777779999995</v>
      </c>
      <c r="G52" s="2">
        <v>2400</v>
      </c>
      <c r="H52" s="2">
        <f t="shared" si="3"/>
        <v>0</v>
      </c>
      <c r="I52" s="2">
        <f t="shared" si="3"/>
        <v>0</v>
      </c>
      <c r="J52" s="2">
        <f t="shared" si="3"/>
        <v>0</v>
      </c>
      <c r="K52" s="2">
        <f t="shared" si="3"/>
        <v>0</v>
      </c>
      <c r="L52" s="2">
        <f t="shared" si="3"/>
        <v>0</v>
      </c>
      <c r="M52" s="2">
        <f t="shared" si="3"/>
        <v>0</v>
      </c>
      <c r="N52" s="2">
        <f t="shared" si="3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18</v>
      </c>
      <c r="E53" s="2" t="s">
        <v>50</v>
      </c>
      <c r="F53" s="2">
        <v>5.8206766920000002</v>
      </c>
      <c r="G53" s="2">
        <v>2700</v>
      </c>
      <c r="H53" s="2">
        <f t="shared" si="3"/>
        <v>0</v>
      </c>
      <c r="I53" s="2">
        <f t="shared" si="3"/>
        <v>0</v>
      </c>
      <c r="J53" s="2">
        <f t="shared" si="3"/>
        <v>0</v>
      </c>
      <c r="K53" s="2">
        <f t="shared" si="3"/>
        <v>0</v>
      </c>
      <c r="L53" s="2">
        <f t="shared" si="3"/>
        <v>0</v>
      </c>
      <c r="M53" s="2">
        <f t="shared" si="3"/>
        <v>0</v>
      </c>
      <c r="N53" s="2">
        <f t="shared" si="3"/>
        <v>0</v>
      </c>
    </row>
    <row r="54" spans="1:14" x14ac:dyDescent="0.25">
      <c r="A54" s="1" t="str">
        <f t="shared" si="1"/>
        <v>OF</v>
      </c>
      <c r="B54" s="2" t="str">
        <f>IF(C54=0,0,A54&amp;" "&amp;COUNTIF($A$1:$A54,A54))</f>
        <v>OF 2</v>
      </c>
      <c r="C54" s="1">
        <v>1</v>
      </c>
      <c r="D54" s="2" t="s">
        <v>18</v>
      </c>
      <c r="E54" s="2" t="s">
        <v>38</v>
      </c>
      <c r="F54" s="2">
        <v>13.85</v>
      </c>
      <c r="G54" s="2">
        <v>3700</v>
      </c>
      <c r="H54" s="2">
        <f t="shared" si="3"/>
        <v>0</v>
      </c>
      <c r="I54" s="2">
        <f t="shared" si="3"/>
        <v>1</v>
      </c>
      <c r="J54" s="2">
        <f t="shared" si="3"/>
        <v>0</v>
      </c>
      <c r="K54" s="2">
        <f t="shared" si="3"/>
        <v>0</v>
      </c>
      <c r="L54" s="2">
        <f t="shared" si="3"/>
        <v>0</v>
      </c>
      <c r="M54" s="2">
        <f t="shared" si="3"/>
        <v>0</v>
      </c>
      <c r="N54" s="2">
        <f t="shared" si="3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21</v>
      </c>
      <c r="E55" s="2" t="s">
        <v>65</v>
      </c>
      <c r="F55" s="2">
        <v>7.4095238099999996</v>
      </c>
      <c r="G55" s="2">
        <v>4000</v>
      </c>
      <c r="H55" s="2">
        <f t="shared" si="3"/>
        <v>0</v>
      </c>
      <c r="I55" s="2">
        <f t="shared" si="3"/>
        <v>0</v>
      </c>
      <c r="J55" s="2">
        <f t="shared" si="3"/>
        <v>0</v>
      </c>
      <c r="K55" s="2">
        <f t="shared" si="3"/>
        <v>0</v>
      </c>
      <c r="L55" s="2">
        <f t="shared" si="3"/>
        <v>0</v>
      </c>
      <c r="M55" s="2">
        <f t="shared" si="3"/>
        <v>0</v>
      </c>
      <c r="N55" s="2">
        <f t="shared" si="3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1</v>
      </c>
      <c r="E56" s="2" t="s">
        <v>78</v>
      </c>
      <c r="F56" s="2">
        <v>0</v>
      </c>
      <c r="G56" s="2">
        <v>2100</v>
      </c>
      <c r="H56" s="2">
        <f t="shared" si="3"/>
        <v>0</v>
      </c>
      <c r="I56" s="2">
        <f t="shared" si="3"/>
        <v>0</v>
      </c>
      <c r="J56" s="2">
        <f t="shared" si="3"/>
        <v>0</v>
      </c>
      <c r="K56" s="2">
        <f t="shared" si="3"/>
        <v>0</v>
      </c>
      <c r="L56" s="2">
        <f t="shared" si="3"/>
        <v>0</v>
      </c>
      <c r="M56" s="2">
        <f t="shared" si="3"/>
        <v>0</v>
      </c>
      <c r="N56" s="2">
        <f t="shared" si="3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2" t="s">
        <v>1</v>
      </c>
      <c r="E57" s="2" t="s">
        <v>39</v>
      </c>
      <c r="F57" s="2">
        <v>6.9717948720000003</v>
      </c>
      <c r="G57" s="2">
        <v>2900</v>
      </c>
      <c r="H57" s="2">
        <f t="shared" si="3"/>
        <v>0</v>
      </c>
      <c r="I57" s="2">
        <f t="shared" si="3"/>
        <v>0</v>
      </c>
      <c r="J57" s="2">
        <f t="shared" si="3"/>
        <v>0</v>
      </c>
      <c r="K57" s="2">
        <f t="shared" si="3"/>
        <v>0</v>
      </c>
      <c r="L57" s="2">
        <f t="shared" si="3"/>
        <v>0</v>
      </c>
      <c r="M57" s="2">
        <f t="shared" si="3"/>
        <v>0</v>
      </c>
      <c r="N57" s="2">
        <f t="shared" si="3"/>
        <v>0</v>
      </c>
    </row>
    <row r="58" spans="1:14" x14ac:dyDescent="0.25">
      <c r="A58" s="1" t="str">
        <f t="shared" si="1"/>
        <v>3B</v>
      </c>
      <c r="B58" s="2" t="str">
        <f>IF(C58=0,0,A58&amp;" "&amp;COUNTIF($A$1:$A58,A58))</f>
        <v>3B 1</v>
      </c>
      <c r="C58" s="1">
        <v>1</v>
      </c>
      <c r="D58" s="2" t="s">
        <v>21</v>
      </c>
      <c r="E58" s="2" t="s">
        <v>64</v>
      </c>
      <c r="F58" s="2">
        <v>11.861027569999999</v>
      </c>
      <c r="G58" s="2">
        <v>3500</v>
      </c>
      <c r="H58" s="2">
        <f t="shared" si="3"/>
        <v>0</v>
      </c>
      <c r="I58" s="2">
        <f t="shared" si="3"/>
        <v>0</v>
      </c>
      <c r="J58" s="2">
        <f t="shared" si="3"/>
        <v>0</v>
      </c>
      <c r="K58" s="2">
        <f t="shared" si="3"/>
        <v>1</v>
      </c>
      <c r="L58" s="2">
        <f t="shared" si="3"/>
        <v>0</v>
      </c>
      <c r="M58" s="2">
        <f t="shared" si="3"/>
        <v>0</v>
      </c>
      <c r="N58" s="2">
        <f t="shared" si="3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18</v>
      </c>
      <c r="E59" s="2" t="s">
        <v>57</v>
      </c>
      <c r="F59" s="2">
        <v>7.887179487</v>
      </c>
      <c r="G59" s="2">
        <v>3600</v>
      </c>
      <c r="H59" s="2">
        <f t="shared" si="3"/>
        <v>0</v>
      </c>
      <c r="I59" s="2">
        <f t="shared" si="3"/>
        <v>0</v>
      </c>
      <c r="J59" s="2">
        <f t="shared" si="3"/>
        <v>0</v>
      </c>
      <c r="K59" s="2">
        <f t="shared" si="3"/>
        <v>0</v>
      </c>
      <c r="L59" s="2">
        <f t="shared" si="3"/>
        <v>0</v>
      </c>
      <c r="M59" s="2">
        <f t="shared" si="3"/>
        <v>0</v>
      </c>
      <c r="N59" s="2">
        <f t="shared" si="3"/>
        <v>0</v>
      </c>
    </row>
    <row r="60" spans="1:14" x14ac:dyDescent="0.25">
      <c r="A60" s="1" t="str">
        <f t="shared" si="1"/>
        <v>2B</v>
      </c>
      <c r="B60" s="2" t="str">
        <f>IF(C60=0,0,A60&amp;" "&amp;COUNTIF($A$1:$A60,A60))</f>
        <v>2B 1</v>
      </c>
      <c r="C60" s="1">
        <v>1</v>
      </c>
      <c r="D60" s="2" t="s">
        <v>20</v>
      </c>
      <c r="E60" s="2" t="s">
        <v>79</v>
      </c>
      <c r="F60" s="2">
        <v>11.6384127</v>
      </c>
      <c r="G60" s="2">
        <v>2500</v>
      </c>
      <c r="H60" s="2">
        <f t="shared" si="3"/>
        <v>0</v>
      </c>
      <c r="I60" s="2">
        <f t="shared" si="3"/>
        <v>0</v>
      </c>
      <c r="J60" s="2">
        <f t="shared" si="3"/>
        <v>1</v>
      </c>
      <c r="K60" s="2">
        <f t="shared" si="3"/>
        <v>0</v>
      </c>
      <c r="L60" s="2">
        <f t="shared" si="3"/>
        <v>0</v>
      </c>
      <c r="M60" s="2">
        <f t="shared" si="3"/>
        <v>0</v>
      </c>
      <c r="N60" s="2">
        <f t="shared" si="3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1</v>
      </c>
      <c r="E61" s="2" t="s">
        <v>61</v>
      </c>
      <c r="F61" s="2">
        <v>12.346666669999999</v>
      </c>
      <c r="G61" s="2">
        <v>2500</v>
      </c>
      <c r="H61" s="2">
        <f t="shared" si="3"/>
        <v>0</v>
      </c>
      <c r="I61" s="2">
        <f t="shared" si="3"/>
        <v>0</v>
      </c>
      <c r="J61" s="2">
        <f t="shared" si="3"/>
        <v>0</v>
      </c>
      <c r="K61" s="2">
        <f t="shared" si="3"/>
        <v>0</v>
      </c>
      <c r="L61" s="2">
        <f t="shared" si="3"/>
        <v>0</v>
      </c>
      <c r="M61" s="2">
        <f t="shared" si="3"/>
        <v>0</v>
      </c>
      <c r="N61" s="2">
        <f t="shared" si="3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18</v>
      </c>
      <c r="E62" s="2" t="s">
        <v>35</v>
      </c>
      <c r="F62" s="2">
        <v>0</v>
      </c>
      <c r="G62" s="2">
        <v>3300</v>
      </c>
      <c r="H62" s="2">
        <f t="shared" si="3"/>
        <v>0</v>
      </c>
      <c r="I62" s="2">
        <f t="shared" si="3"/>
        <v>0</v>
      </c>
      <c r="J62" s="2">
        <f t="shared" si="3"/>
        <v>0</v>
      </c>
      <c r="K62" s="2">
        <f t="shared" si="3"/>
        <v>0</v>
      </c>
      <c r="L62" s="2">
        <f t="shared" si="3"/>
        <v>0</v>
      </c>
      <c r="M62" s="2">
        <f t="shared" si="3"/>
        <v>0</v>
      </c>
      <c r="N62" s="2">
        <f t="shared" si="3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20</v>
      </c>
      <c r="E63" s="2" t="s">
        <v>33</v>
      </c>
      <c r="F63" s="2">
        <v>8.6222222219999995</v>
      </c>
      <c r="G63" s="2">
        <v>3600</v>
      </c>
      <c r="H63" s="2">
        <f t="shared" si="3"/>
        <v>0</v>
      </c>
      <c r="I63" s="2">
        <f t="shared" si="3"/>
        <v>0</v>
      </c>
      <c r="J63" s="2">
        <f t="shared" si="3"/>
        <v>0</v>
      </c>
      <c r="K63" s="2">
        <f t="shared" si="3"/>
        <v>0</v>
      </c>
      <c r="L63" s="2">
        <f t="shared" si="3"/>
        <v>0</v>
      </c>
      <c r="M63" s="2">
        <f t="shared" si="3"/>
        <v>0</v>
      </c>
      <c r="N63" s="2">
        <f t="shared" si="3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 t="s">
        <v>18</v>
      </c>
      <c r="E64" s="2" t="s">
        <v>54</v>
      </c>
      <c r="F64" s="2">
        <v>9.9219780219999993</v>
      </c>
      <c r="G64" s="2">
        <v>4000</v>
      </c>
      <c r="H64" s="2">
        <f t="shared" si="3"/>
        <v>0</v>
      </c>
      <c r="I64" s="2">
        <f t="shared" si="3"/>
        <v>0</v>
      </c>
      <c r="J64" s="2">
        <f t="shared" si="3"/>
        <v>0</v>
      </c>
      <c r="K64" s="2">
        <f t="shared" si="3"/>
        <v>0</v>
      </c>
      <c r="L64" s="2">
        <f t="shared" si="3"/>
        <v>0</v>
      </c>
      <c r="M64" s="2">
        <f t="shared" si="3"/>
        <v>0</v>
      </c>
      <c r="N64" s="2">
        <f t="shared" si="3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 t="s">
        <v>22</v>
      </c>
      <c r="E65" s="2" t="s">
        <v>37</v>
      </c>
      <c r="F65" s="2">
        <v>8.4589446590000001</v>
      </c>
      <c r="G65" s="2">
        <v>2800</v>
      </c>
      <c r="H65" s="2">
        <f t="shared" si="3"/>
        <v>0</v>
      </c>
      <c r="I65" s="2">
        <f t="shared" si="3"/>
        <v>0</v>
      </c>
      <c r="J65" s="2">
        <f t="shared" si="3"/>
        <v>0</v>
      </c>
      <c r="K65" s="2">
        <f t="shared" si="3"/>
        <v>0</v>
      </c>
      <c r="L65" s="2">
        <f t="shared" si="3"/>
        <v>0</v>
      </c>
      <c r="M65" s="2">
        <f t="shared" si="3"/>
        <v>0</v>
      </c>
      <c r="N65" s="2">
        <f t="shared" si="3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 t="s">
        <v>1</v>
      </c>
      <c r="E66" s="2" t="s">
        <v>59</v>
      </c>
      <c r="F66" s="2">
        <v>3.2539682540000001</v>
      </c>
      <c r="G66" s="2">
        <v>3100</v>
      </c>
      <c r="H66" s="2">
        <f t="shared" si="3"/>
        <v>0</v>
      </c>
      <c r="I66" s="2">
        <f t="shared" si="3"/>
        <v>0</v>
      </c>
      <c r="J66" s="2">
        <f t="shared" si="3"/>
        <v>0</v>
      </c>
      <c r="K66" s="2">
        <f t="shared" si="3"/>
        <v>0</v>
      </c>
      <c r="L66" s="2">
        <f t="shared" si="3"/>
        <v>0</v>
      </c>
      <c r="M66" s="2">
        <f t="shared" si="3"/>
        <v>0</v>
      </c>
      <c r="N66" s="2">
        <f t="shared" si="3"/>
        <v>0</v>
      </c>
    </row>
    <row r="67" spans="1:14" x14ac:dyDescent="0.25">
      <c r="A67" s="1">
        <f t="shared" ref="A67:A130" si="4">IF(C67=1,D67,0)</f>
        <v>0</v>
      </c>
      <c r="B67" s="2">
        <f>IF(C67=0,0,A67&amp;" "&amp;COUNTIF($A$1:$A67,A67))</f>
        <v>0</v>
      </c>
      <c r="C67" s="1">
        <v>0</v>
      </c>
      <c r="D67" s="2" t="s">
        <v>20</v>
      </c>
      <c r="E67" s="2" t="s">
        <v>28</v>
      </c>
      <c r="F67" s="2">
        <v>8.0031328320000004</v>
      </c>
      <c r="G67" s="2">
        <v>3300</v>
      </c>
      <c r="H67" s="2">
        <f t="shared" si="3"/>
        <v>0</v>
      </c>
      <c r="I67" s="2">
        <f t="shared" si="3"/>
        <v>0</v>
      </c>
      <c r="J67" s="2">
        <f t="shared" si="3"/>
        <v>0</v>
      </c>
      <c r="K67" s="2">
        <f t="shared" si="3"/>
        <v>0</v>
      </c>
      <c r="L67" s="2">
        <f t="shared" si="3"/>
        <v>0</v>
      </c>
      <c r="M67" s="2">
        <f t="shared" si="3"/>
        <v>0</v>
      </c>
      <c r="N67" s="2">
        <f t="shared" si="3"/>
        <v>0</v>
      </c>
    </row>
    <row r="68" spans="1:14" x14ac:dyDescent="0.25">
      <c r="A68" s="1">
        <f t="shared" si="4"/>
        <v>0</v>
      </c>
      <c r="B68" s="2">
        <f>IF(C68=0,0,A68&amp;" "&amp;COUNTIF($A$1:$A68,A68))</f>
        <v>0</v>
      </c>
      <c r="C68" s="1">
        <v>0</v>
      </c>
      <c r="D68" s="2" t="s">
        <v>20</v>
      </c>
      <c r="E68" s="2" t="s">
        <v>74</v>
      </c>
      <c r="F68" s="2">
        <v>0</v>
      </c>
      <c r="G68" s="2">
        <v>2000</v>
      </c>
      <c r="H68" s="2">
        <f t="shared" si="3"/>
        <v>0</v>
      </c>
      <c r="I68" s="2">
        <f t="shared" si="3"/>
        <v>0</v>
      </c>
      <c r="J68" s="2">
        <f t="shared" si="3"/>
        <v>0</v>
      </c>
      <c r="K68" s="2">
        <f t="shared" si="3"/>
        <v>0</v>
      </c>
      <c r="L68" s="2">
        <f t="shared" si="3"/>
        <v>0</v>
      </c>
      <c r="M68" s="2">
        <f t="shared" si="3"/>
        <v>0</v>
      </c>
      <c r="N68" s="2">
        <f t="shared" si="3"/>
        <v>0</v>
      </c>
    </row>
    <row r="69" spans="1:14" x14ac:dyDescent="0.25">
      <c r="A69" s="1">
        <f t="shared" si="4"/>
        <v>0</v>
      </c>
      <c r="B69" s="2">
        <f>IF(C69=0,0,A69&amp;" "&amp;COUNTIF($A$1:$A69,A69))</f>
        <v>0</v>
      </c>
      <c r="C69" s="1">
        <v>0</v>
      </c>
      <c r="D69" s="2" t="s">
        <v>18</v>
      </c>
      <c r="E69" s="2" t="s">
        <v>56</v>
      </c>
      <c r="F69" s="2">
        <v>5.6341880340000001</v>
      </c>
      <c r="G69" s="2">
        <v>2600</v>
      </c>
      <c r="H69" s="2">
        <f t="shared" si="3"/>
        <v>0</v>
      </c>
      <c r="I69" s="2">
        <f t="shared" si="3"/>
        <v>0</v>
      </c>
      <c r="J69" s="2">
        <f t="shared" si="3"/>
        <v>0</v>
      </c>
      <c r="K69" s="2">
        <f t="shared" si="3"/>
        <v>0</v>
      </c>
      <c r="L69" s="2">
        <f t="shared" si="3"/>
        <v>0</v>
      </c>
      <c r="M69" s="2">
        <f t="shared" si="3"/>
        <v>0</v>
      </c>
      <c r="N69" s="2">
        <f t="shared" si="3"/>
        <v>0</v>
      </c>
    </row>
    <row r="70" spans="1:14" x14ac:dyDescent="0.25">
      <c r="A70" s="1">
        <f t="shared" si="4"/>
        <v>0</v>
      </c>
      <c r="B70" s="2">
        <f>IF(C70=0,0,A70&amp;" "&amp;COUNTIF($A$1:$A70,A70))</f>
        <v>0</v>
      </c>
      <c r="C70" s="1">
        <v>0</v>
      </c>
      <c r="D70" s="2" t="s">
        <v>20</v>
      </c>
      <c r="E70" s="2" t="s">
        <v>67</v>
      </c>
      <c r="F70" s="2">
        <v>3.052380952</v>
      </c>
      <c r="G70" s="2">
        <v>2000</v>
      </c>
      <c r="H70" s="2">
        <f t="shared" si="3"/>
        <v>0</v>
      </c>
      <c r="I70" s="2">
        <f t="shared" si="3"/>
        <v>0</v>
      </c>
      <c r="J70" s="2">
        <f t="shared" si="3"/>
        <v>0</v>
      </c>
      <c r="K70" s="2">
        <f t="shared" si="3"/>
        <v>0</v>
      </c>
      <c r="L70" s="2">
        <f t="shared" si="3"/>
        <v>0</v>
      </c>
      <c r="M70" s="2">
        <f t="shared" si="3"/>
        <v>0</v>
      </c>
      <c r="N70" s="2">
        <f t="shared" si="3"/>
        <v>0</v>
      </c>
    </row>
    <row r="71" spans="1:14" x14ac:dyDescent="0.25">
      <c r="A71" s="1" t="str">
        <f t="shared" si="4"/>
        <v>SS</v>
      </c>
      <c r="B71" s="2" t="str">
        <f>IF(C71=0,0,A71&amp;" "&amp;COUNTIF($A$1:$A71,A71))</f>
        <v>SS 1</v>
      </c>
      <c r="C71" s="1">
        <v>1</v>
      </c>
      <c r="D71" s="2" t="s">
        <v>22</v>
      </c>
      <c r="E71" s="2" t="s">
        <v>51</v>
      </c>
      <c r="F71" s="2">
        <v>9.5509259259999997</v>
      </c>
      <c r="G71" s="2">
        <v>4300</v>
      </c>
      <c r="H71" s="2">
        <f t="shared" si="3"/>
        <v>0</v>
      </c>
      <c r="I71" s="2">
        <f t="shared" si="3"/>
        <v>0</v>
      </c>
      <c r="J71" s="2">
        <f t="shared" si="3"/>
        <v>0</v>
      </c>
      <c r="K71" s="2">
        <f t="shared" si="3"/>
        <v>0</v>
      </c>
      <c r="L71" s="2">
        <f t="shared" si="3"/>
        <v>0</v>
      </c>
      <c r="M71" s="2">
        <f t="shared" si="3"/>
        <v>1</v>
      </c>
      <c r="N71" s="2">
        <f t="shared" si="3"/>
        <v>0</v>
      </c>
    </row>
    <row r="72" spans="1:14" x14ac:dyDescent="0.25">
      <c r="A72" s="1">
        <f t="shared" si="4"/>
        <v>0</v>
      </c>
      <c r="B72" s="2">
        <f>IF(C72=0,0,A72&amp;" "&amp;COUNTIF($A$1:$A72,A72))</f>
        <v>0</v>
      </c>
      <c r="C72" s="1">
        <v>0</v>
      </c>
      <c r="D72" s="2" t="s">
        <v>23</v>
      </c>
      <c r="E72" s="2" t="s">
        <v>104</v>
      </c>
      <c r="F72" s="2">
        <v>14.55947712</v>
      </c>
      <c r="G72" s="2">
        <v>4100</v>
      </c>
      <c r="H72" s="2">
        <f t="shared" si="3"/>
        <v>0</v>
      </c>
      <c r="I72" s="2">
        <f t="shared" si="3"/>
        <v>0</v>
      </c>
      <c r="J72" s="2">
        <f t="shared" si="3"/>
        <v>0</v>
      </c>
      <c r="K72" s="2">
        <f t="shared" si="3"/>
        <v>0</v>
      </c>
      <c r="L72" s="2">
        <f t="shared" si="3"/>
        <v>0</v>
      </c>
      <c r="M72" s="2">
        <f t="shared" si="3"/>
        <v>0</v>
      </c>
      <c r="N72" s="2">
        <f t="shared" si="3"/>
        <v>0</v>
      </c>
    </row>
    <row r="73" spans="1:14" x14ac:dyDescent="0.25">
      <c r="A73" s="1">
        <f t="shared" si="4"/>
        <v>0</v>
      </c>
      <c r="B73" s="2">
        <f>IF(C73=0,0,A73&amp;" "&amp;COUNTIF($A$1:$A73,A73))</f>
        <v>0</v>
      </c>
      <c r="C73" s="1">
        <v>0</v>
      </c>
      <c r="D73" s="2" t="s">
        <v>20</v>
      </c>
      <c r="E73" s="2" t="s">
        <v>73</v>
      </c>
      <c r="F73" s="2">
        <v>11.349206349999999</v>
      </c>
      <c r="G73" s="2">
        <v>3700</v>
      </c>
      <c r="H73" s="2">
        <f t="shared" si="3"/>
        <v>0</v>
      </c>
      <c r="I73" s="2">
        <f t="shared" si="3"/>
        <v>0</v>
      </c>
      <c r="J73" s="2">
        <f t="shared" si="3"/>
        <v>0</v>
      </c>
      <c r="K73" s="2">
        <f t="shared" si="3"/>
        <v>0</v>
      </c>
      <c r="L73" s="2">
        <f t="shared" si="3"/>
        <v>0</v>
      </c>
      <c r="M73" s="2">
        <f t="shared" si="3"/>
        <v>0</v>
      </c>
      <c r="N73" s="2">
        <f t="shared" si="3"/>
        <v>0</v>
      </c>
    </row>
    <row r="74" spans="1:14" x14ac:dyDescent="0.25">
      <c r="A74" s="1">
        <f t="shared" si="4"/>
        <v>0</v>
      </c>
      <c r="B74" s="2">
        <f>IF(C74=0,0,A74&amp;" "&amp;COUNTIF($A$1:$A74,A74))</f>
        <v>0</v>
      </c>
      <c r="C74" s="1">
        <v>0</v>
      </c>
      <c r="D74" s="2" t="s">
        <v>20</v>
      </c>
      <c r="E74" s="2" t="s">
        <v>60</v>
      </c>
      <c r="F74" s="2">
        <v>8.7988505749999995</v>
      </c>
      <c r="G74" s="2">
        <v>2900</v>
      </c>
      <c r="H74" s="2">
        <f t="shared" si="3"/>
        <v>0</v>
      </c>
      <c r="I74" s="2">
        <f t="shared" si="3"/>
        <v>0</v>
      </c>
      <c r="J74" s="2">
        <f t="shared" si="3"/>
        <v>0</v>
      </c>
      <c r="K74" s="2">
        <f t="shared" si="3"/>
        <v>0</v>
      </c>
      <c r="L74" s="2">
        <f t="shared" si="3"/>
        <v>0</v>
      </c>
      <c r="M74" s="2">
        <f t="shared" si="3"/>
        <v>0</v>
      </c>
      <c r="N74" s="2">
        <f t="shared" si="3"/>
        <v>0</v>
      </c>
    </row>
    <row r="75" spans="1:14" x14ac:dyDescent="0.25">
      <c r="A75" s="1" t="str">
        <f t="shared" si="4"/>
        <v>OF</v>
      </c>
      <c r="B75" s="2" t="str">
        <f>IF(C75=0,0,A75&amp;" "&amp;COUNTIF($A$1:$A75,A75))</f>
        <v>OF 3</v>
      </c>
      <c r="C75" s="1">
        <v>1</v>
      </c>
      <c r="D75" s="2" t="s">
        <v>18</v>
      </c>
      <c r="E75" s="2" t="s">
        <v>31</v>
      </c>
      <c r="F75" s="2">
        <v>11.46966967</v>
      </c>
      <c r="G75" s="2">
        <v>4000</v>
      </c>
      <c r="H75" s="2">
        <f t="shared" si="3"/>
        <v>0</v>
      </c>
      <c r="I75" s="2">
        <f t="shared" si="3"/>
        <v>1</v>
      </c>
      <c r="J75" s="2">
        <f t="shared" si="3"/>
        <v>0</v>
      </c>
      <c r="K75" s="2">
        <f t="shared" si="3"/>
        <v>0</v>
      </c>
      <c r="L75" s="2">
        <f t="shared" si="3"/>
        <v>0</v>
      </c>
      <c r="M75" s="2">
        <f t="shared" si="3"/>
        <v>0</v>
      </c>
      <c r="N75" s="2">
        <f t="shared" ref="H75:N110" si="5">IF($D75=N$1,$C75*1,0)</f>
        <v>0</v>
      </c>
    </row>
    <row r="76" spans="1:14" x14ac:dyDescent="0.25">
      <c r="A76" s="1">
        <f t="shared" si="4"/>
        <v>0</v>
      </c>
      <c r="B76" s="2">
        <f>IF(C76=0,0,A76&amp;" "&amp;COUNTIF($A$1:$A76,A76))</f>
        <v>0</v>
      </c>
      <c r="C76" s="1">
        <v>0</v>
      </c>
      <c r="D76" s="2" t="s">
        <v>18</v>
      </c>
      <c r="E76" s="2" t="s">
        <v>32</v>
      </c>
      <c r="F76" s="2">
        <v>7.9555555560000002</v>
      </c>
      <c r="G76" s="2">
        <v>3400</v>
      </c>
      <c r="H76" s="2">
        <f t="shared" si="5"/>
        <v>0</v>
      </c>
      <c r="I76" s="2">
        <f t="shared" si="5"/>
        <v>0</v>
      </c>
      <c r="J76" s="2">
        <f t="shared" si="5"/>
        <v>0</v>
      </c>
      <c r="K76" s="2">
        <f t="shared" si="5"/>
        <v>0</v>
      </c>
      <c r="L76" s="2">
        <f t="shared" si="5"/>
        <v>0</v>
      </c>
      <c r="M76" s="2">
        <f t="shared" si="5"/>
        <v>0</v>
      </c>
      <c r="N76" s="2">
        <f t="shared" si="5"/>
        <v>0</v>
      </c>
    </row>
    <row r="77" spans="1:14" x14ac:dyDescent="0.25">
      <c r="A77" s="1">
        <f t="shared" si="4"/>
        <v>0</v>
      </c>
      <c r="B77" s="2">
        <f>IF(C77=0,0,A77&amp;" "&amp;COUNTIF($A$1:$A77,A77))</f>
        <v>0</v>
      </c>
      <c r="C77" s="1">
        <v>0</v>
      </c>
      <c r="D77" s="2" t="s">
        <v>18</v>
      </c>
      <c r="E77" s="2" t="s">
        <v>40</v>
      </c>
      <c r="F77" s="2">
        <v>8.4673101670000008</v>
      </c>
      <c r="G77" s="2">
        <v>3300</v>
      </c>
      <c r="H77" s="2">
        <f t="shared" si="5"/>
        <v>0</v>
      </c>
      <c r="I77" s="2">
        <f t="shared" si="5"/>
        <v>0</v>
      </c>
      <c r="J77" s="2">
        <f t="shared" si="5"/>
        <v>0</v>
      </c>
      <c r="K77" s="2">
        <f t="shared" si="5"/>
        <v>0</v>
      </c>
      <c r="L77" s="2">
        <f t="shared" si="5"/>
        <v>0</v>
      </c>
      <c r="M77" s="2">
        <f t="shared" si="5"/>
        <v>0</v>
      </c>
      <c r="N77" s="2">
        <f t="shared" si="5"/>
        <v>0</v>
      </c>
    </row>
    <row r="78" spans="1:14" x14ac:dyDescent="0.25">
      <c r="A78" s="1">
        <f t="shared" si="4"/>
        <v>0</v>
      </c>
      <c r="B78" s="2">
        <f>IF(C78=0,0,A78&amp;" "&amp;COUNTIF($A$1:$A78,A78))</f>
        <v>0</v>
      </c>
      <c r="C78" s="1">
        <v>0</v>
      </c>
      <c r="D78" s="2" t="s">
        <v>18</v>
      </c>
      <c r="E78" s="2" t="s">
        <v>36</v>
      </c>
      <c r="F78" s="2">
        <v>6.6960317460000001</v>
      </c>
      <c r="G78" s="2">
        <v>3200</v>
      </c>
      <c r="H78" s="2">
        <f t="shared" si="5"/>
        <v>0</v>
      </c>
      <c r="I78" s="2">
        <f t="shared" si="5"/>
        <v>0</v>
      </c>
      <c r="J78" s="2">
        <f t="shared" si="5"/>
        <v>0</v>
      </c>
      <c r="K78" s="2">
        <f t="shared" si="5"/>
        <v>0</v>
      </c>
      <c r="L78" s="2">
        <f t="shared" si="5"/>
        <v>0</v>
      </c>
      <c r="M78" s="2">
        <f t="shared" si="5"/>
        <v>0</v>
      </c>
      <c r="N78" s="2">
        <f t="shared" si="5"/>
        <v>0</v>
      </c>
    </row>
    <row r="79" spans="1:14" x14ac:dyDescent="0.25">
      <c r="A79" s="1">
        <f t="shared" si="4"/>
        <v>0</v>
      </c>
      <c r="B79" s="2">
        <f>IF(C79=0,0,A79&amp;" "&amp;COUNTIF($A$1:$A79,A79))</f>
        <v>0</v>
      </c>
      <c r="C79" s="1">
        <v>0</v>
      </c>
      <c r="D79" s="2" t="s">
        <v>23</v>
      </c>
      <c r="E79" s="2" t="s">
        <v>48</v>
      </c>
      <c r="F79" s="2">
        <v>0</v>
      </c>
      <c r="G79" s="2">
        <v>2400</v>
      </c>
      <c r="H79" s="2">
        <f t="shared" si="5"/>
        <v>0</v>
      </c>
      <c r="I79" s="2">
        <f t="shared" si="5"/>
        <v>0</v>
      </c>
      <c r="J79" s="2">
        <f t="shared" si="5"/>
        <v>0</v>
      </c>
      <c r="K79" s="2">
        <f t="shared" si="5"/>
        <v>0</v>
      </c>
      <c r="L79" s="2">
        <f t="shared" si="5"/>
        <v>0</v>
      </c>
      <c r="M79" s="2">
        <f t="shared" si="5"/>
        <v>0</v>
      </c>
      <c r="N79" s="2">
        <f t="shared" si="5"/>
        <v>0</v>
      </c>
    </row>
    <row r="80" spans="1:14" x14ac:dyDescent="0.25">
      <c r="A80" s="1">
        <f t="shared" si="4"/>
        <v>0</v>
      </c>
      <c r="B80" s="2">
        <f>IF(C80=0,0,A80&amp;" "&amp;COUNTIF($A$1:$A80,A80))</f>
        <v>0</v>
      </c>
      <c r="C80" s="1">
        <v>0</v>
      </c>
      <c r="D80" s="2" t="s">
        <v>18</v>
      </c>
      <c r="E80" s="2" t="s">
        <v>62</v>
      </c>
      <c r="F80" s="2">
        <v>8.1880000000000006</v>
      </c>
      <c r="G80" s="2">
        <v>2400</v>
      </c>
      <c r="H80" s="2">
        <f t="shared" si="5"/>
        <v>0</v>
      </c>
      <c r="I80" s="2">
        <f t="shared" si="5"/>
        <v>0</v>
      </c>
      <c r="J80" s="2">
        <f t="shared" si="5"/>
        <v>0</v>
      </c>
      <c r="K80" s="2">
        <f t="shared" si="5"/>
        <v>0</v>
      </c>
      <c r="L80" s="2">
        <f t="shared" si="5"/>
        <v>0</v>
      </c>
      <c r="M80" s="2">
        <f t="shared" si="5"/>
        <v>0</v>
      </c>
      <c r="N80" s="2">
        <f t="shared" si="5"/>
        <v>0</v>
      </c>
    </row>
    <row r="81" spans="1:14" x14ac:dyDescent="0.25">
      <c r="A81" s="1">
        <f t="shared" si="4"/>
        <v>0</v>
      </c>
      <c r="B81" s="2">
        <f>IF(C81=0,0,A81&amp;" "&amp;COUNTIF($A$1:$A81,A81))</f>
        <v>0</v>
      </c>
      <c r="C81" s="1">
        <v>0</v>
      </c>
      <c r="D81" s="2" t="s">
        <v>18</v>
      </c>
      <c r="E81" s="2" t="s">
        <v>71</v>
      </c>
      <c r="F81" s="2">
        <v>8.8943209880000005</v>
      </c>
      <c r="G81" s="2">
        <v>2600</v>
      </c>
      <c r="H81" s="2">
        <f t="shared" si="5"/>
        <v>0</v>
      </c>
      <c r="I81" s="2">
        <f t="shared" si="5"/>
        <v>0</v>
      </c>
      <c r="J81" s="2">
        <f t="shared" si="5"/>
        <v>0</v>
      </c>
      <c r="K81" s="2">
        <f t="shared" si="5"/>
        <v>0</v>
      </c>
      <c r="L81" s="2">
        <f t="shared" si="5"/>
        <v>0</v>
      </c>
      <c r="M81" s="2">
        <f t="shared" si="5"/>
        <v>0</v>
      </c>
      <c r="N81" s="2">
        <f t="shared" si="5"/>
        <v>0</v>
      </c>
    </row>
    <row r="82" spans="1:14" x14ac:dyDescent="0.25">
      <c r="A82" s="1">
        <f t="shared" si="4"/>
        <v>0</v>
      </c>
      <c r="B82" s="2">
        <f>IF(C82=0,0,A82&amp;" "&amp;COUNTIF($A$1:$A82,A82))</f>
        <v>0</v>
      </c>
      <c r="C82" s="1">
        <v>0</v>
      </c>
      <c r="D82" s="2" t="s">
        <v>22</v>
      </c>
      <c r="E82" s="2" t="s">
        <v>76</v>
      </c>
      <c r="F82" s="2">
        <v>4.666165414</v>
      </c>
      <c r="G82" s="2">
        <v>2400</v>
      </c>
      <c r="H82" s="2">
        <f t="shared" si="5"/>
        <v>0</v>
      </c>
      <c r="I82" s="2">
        <f t="shared" si="5"/>
        <v>0</v>
      </c>
      <c r="J82" s="2">
        <f t="shared" si="5"/>
        <v>0</v>
      </c>
      <c r="K82" s="2">
        <f t="shared" si="5"/>
        <v>0</v>
      </c>
      <c r="L82" s="2">
        <f t="shared" si="5"/>
        <v>0</v>
      </c>
      <c r="M82" s="2">
        <f t="shared" si="5"/>
        <v>0</v>
      </c>
      <c r="N82" s="2">
        <f t="shared" si="5"/>
        <v>0</v>
      </c>
    </row>
    <row r="83" spans="1:14" x14ac:dyDescent="0.25">
      <c r="A83" s="1">
        <f t="shared" si="4"/>
        <v>0</v>
      </c>
      <c r="B83" s="2">
        <f>IF(C83=0,0,A83&amp;" "&amp;COUNTIF($A$1:$A83,A83))</f>
        <v>0</v>
      </c>
      <c r="C83" s="1">
        <v>0</v>
      </c>
      <c r="D83" s="2" t="s">
        <v>20</v>
      </c>
      <c r="E83" s="2" t="s">
        <v>55</v>
      </c>
      <c r="F83" s="2">
        <v>6.7206896550000002</v>
      </c>
      <c r="G83" s="2">
        <v>2800</v>
      </c>
      <c r="H83" s="2">
        <f t="shared" si="5"/>
        <v>0</v>
      </c>
      <c r="I83" s="2">
        <f t="shared" si="5"/>
        <v>0</v>
      </c>
      <c r="J83" s="2">
        <f t="shared" si="5"/>
        <v>0</v>
      </c>
      <c r="K83" s="2">
        <f t="shared" si="5"/>
        <v>0</v>
      </c>
      <c r="L83" s="2">
        <f t="shared" si="5"/>
        <v>0</v>
      </c>
      <c r="M83" s="2">
        <f t="shared" si="5"/>
        <v>0</v>
      </c>
      <c r="N83" s="2">
        <f t="shared" si="5"/>
        <v>0</v>
      </c>
    </row>
    <row r="84" spans="1:14" x14ac:dyDescent="0.25">
      <c r="A84" s="1">
        <f t="shared" si="4"/>
        <v>0</v>
      </c>
      <c r="B84" s="2">
        <f>IF(C84=0,0,A84&amp;" "&amp;COUNTIF($A$1:$A84,A84))</f>
        <v>0</v>
      </c>
      <c r="C84" s="1">
        <v>0</v>
      </c>
      <c r="D84" s="2">
        <v>0</v>
      </c>
      <c r="E84" s="2">
        <v>0</v>
      </c>
      <c r="F84" s="2">
        <v>0</v>
      </c>
      <c r="G84" s="2">
        <v>0</v>
      </c>
      <c r="H84" s="2">
        <f t="shared" si="5"/>
        <v>0</v>
      </c>
      <c r="I84" s="2">
        <f t="shared" si="5"/>
        <v>0</v>
      </c>
      <c r="J84" s="2">
        <f t="shared" si="5"/>
        <v>0</v>
      </c>
      <c r="K84" s="2">
        <f t="shared" si="5"/>
        <v>0</v>
      </c>
      <c r="L84" s="2">
        <f t="shared" si="5"/>
        <v>0</v>
      </c>
      <c r="M84" s="2">
        <f t="shared" si="5"/>
        <v>0</v>
      </c>
      <c r="N84" s="2">
        <f t="shared" si="5"/>
        <v>0</v>
      </c>
    </row>
    <row r="85" spans="1:14" x14ac:dyDescent="0.25">
      <c r="A85" s="1">
        <f t="shared" si="4"/>
        <v>0</v>
      </c>
      <c r="B85" s="2">
        <f>IF(C85=0,0,A85&amp;" "&amp;COUNTIF($A$1:$A85,A85))</f>
        <v>0</v>
      </c>
      <c r="C85" s="1">
        <v>0</v>
      </c>
      <c r="D85" s="2">
        <v>0</v>
      </c>
      <c r="E85" s="2">
        <v>0</v>
      </c>
      <c r="F85" s="2">
        <v>0</v>
      </c>
      <c r="G85" s="2">
        <v>0</v>
      </c>
      <c r="H85" s="2">
        <f t="shared" si="5"/>
        <v>0</v>
      </c>
      <c r="I85" s="2">
        <f t="shared" si="5"/>
        <v>0</v>
      </c>
      <c r="J85" s="2">
        <f t="shared" si="5"/>
        <v>0</v>
      </c>
      <c r="K85" s="2">
        <f t="shared" si="5"/>
        <v>0</v>
      </c>
      <c r="L85" s="2">
        <f t="shared" si="5"/>
        <v>0</v>
      </c>
      <c r="M85" s="2">
        <f t="shared" si="5"/>
        <v>0</v>
      </c>
      <c r="N85" s="2">
        <f t="shared" si="5"/>
        <v>0</v>
      </c>
    </row>
    <row r="86" spans="1:14" x14ac:dyDescent="0.25">
      <c r="A86" s="1">
        <f t="shared" si="4"/>
        <v>0</v>
      </c>
      <c r="B86" s="2">
        <f>IF(C86=0,0,A86&amp;" "&amp;COUNTIF($A$1:$A86,A86))</f>
        <v>0</v>
      </c>
      <c r="C86" s="1">
        <v>0</v>
      </c>
      <c r="D86" s="2">
        <v>0</v>
      </c>
      <c r="E86" s="2">
        <v>0</v>
      </c>
      <c r="F86" s="2">
        <v>0</v>
      </c>
      <c r="G86" s="2">
        <v>0</v>
      </c>
      <c r="H86" s="2">
        <f t="shared" si="5"/>
        <v>0</v>
      </c>
      <c r="I86" s="2">
        <f t="shared" si="5"/>
        <v>0</v>
      </c>
      <c r="J86" s="2">
        <f t="shared" si="5"/>
        <v>0</v>
      </c>
      <c r="K86" s="2">
        <f t="shared" si="5"/>
        <v>0</v>
      </c>
      <c r="L86" s="2">
        <f t="shared" si="5"/>
        <v>0</v>
      </c>
      <c r="M86" s="2">
        <f t="shared" si="5"/>
        <v>0</v>
      </c>
      <c r="N86" s="2">
        <f t="shared" si="5"/>
        <v>0</v>
      </c>
    </row>
    <row r="87" spans="1:14" x14ac:dyDescent="0.25">
      <c r="A87" s="1">
        <f t="shared" si="4"/>
        <v>0</v>
      </c>
      <c r="B87" s="2">
        <f>IF(C87=0,0,A87&amp;" "&amp;COUNTIF($A$1:$A87,A87))</f>
        <v>0</v>
      </c>
      <c r="C87" s="1">
        <v>0</v>
      </c>
      <c r="D87" s="2">
        <v>0</v>
      </c>
      <c r="E87" s="2">
        <v>0</v>
      </c>
      <c r="F87" s="2">
        <v>0</v>
      </c>
      <c r="G87" s="2">
        <v>0</v>
      </c>
      <c r="H87" s="2">
        <f t="shared" si="5"/>
        <v>0</v>
      </c>
      <c r="I87" s="2">
        <f t="shared" si="5"/>
        <v>0</v>
      </c>
      <c r="J87" s="2">
        <f t="shared" si="5"/>
        <v>0</v>
      </c>
      <c r="K87" s="2">
        <f t="shared" si="5"/>
        <v>0</v>
      </c>
      <c r="L87" s="2">
        <f t="shared" si="5"/>
        <v>0</v>
      </c>
      <c r="M87" s="2">
        <f t="shared" si="5"/>
        <v>0</v>
      </c>
      <c r="N87" s="2">
        <f t="shared" si="5"/>
        <v>0</v>
      </c>
    </row>
    <row r="88" spans="1:14" x14ac:dyDescent="0.25">
      <c r="A88" s="1">
        <f t="shared" si="4"/>
        <v>0</v>
      </c>
      <c r="B88" s="2">
        <f>IF(C88=0,0,A88&amp;" "&amp;COUNTIF($A$1:$A88,A88))</f>
        <v>0</v>
      </c>
      <c r="C88" s="1">
        <v>0</v>
      </c>
      <c r="D88" s="2">
        <v>0</v>
      </c>
      <c r="E88" s="2">
        <v>0</v>
      </c>
      <c r="F88" s="2">
        <v>0</v>
      </c>
      <c r="G88" s="2">
        <v>0</v>
      </c>
      <c r="H88" s="2">
        <f t="shared" si="5"/>
        <v>0</v>
      </c>
      <c r="I88" s="2">
        <f t="shared" si="5"/>
        <v>0</v>
      </c>
      <c r="J88" s="2">
        <f t="shared" si="5"/>
        <v>0</v>
      </c>
      <c r="K88" s="2">
        <f t="shared" si="5"/>
        <v>0</v>
      </c>
      <c r="L88" s="2">
        <f t="shared" si="5"/>
        <v>0</v>
      </c>
      <c r="M88" s="2">
        <f t="shared" si="5"/>
        <v>0</v>
      </c>
      <c r="N88" s="2">
        <f t="shared" si="5"/>
        <v>0</v>
      </c>
    </row>
    <row r="89" spans="1:14" x14ac:dyDescent="0.25">
      <c r="A89" s="1">
        <f t="shared" si="4"/>
        <v>0</v>
      </c>
      <c r="B89" s="2">
        <f>IF(C89=0,0,A89&amp;" "&amp;COUNTIF($A$1:$A89,A89))</f>
        <v>0</v>
      </c>
      <c r="C89" s="1">
        <v>0</v>
      </c>
      <c r="D89" s="2">
        <v>0</v>
      </c>
      <c r="E89" s="2">
        <v>0</v>
      </c>
      <c r="F89" s="2">
        <v>0</v>
      </c>
      <c r="G89" s="2">
        <v>0</v>
      </c>
      <c r="H89" s="2">
        <f t="shared" si="5"/>
        <v>0</v>
      </c>
      <c r="I89" s="2">
        <f t="shared" si="5"/>
        <v>0</v>
      </c>
      <c r="J89" s="2">
        <f t="shared" si="5"/>
        <v>0</v>
      </c>
      <c r="K89" s="2">
        <f t="shared" si="5"/>
        <v>0</v>
      </c>
      <c r="L89" s="2">
        <f t="shared" si="5"/>
        <v>0</v>
      </c>
      <c r="M89" s="2">
        <f t="shared" si="5"/>
        <v>0</v>
      </c>
      <c r="N89" s="2">
        <f t="shared" si="5"/>
        <v>0</v>
      </c>
    </row>
    <row r="90" spans="1:14" x14ac:dyDescent="0.25">
      <c r="A90" s="1">
        <f t="shared" si="4"/>
        <v>0</v>
      </c>
      <c r="B90" s="2">
        <f>IF(C90=0,0,A90&amp;" "&amp;COUNTIF($A$1:$A90,A90))</f>
        <v>0</v>
      </c>
      <c r="C90" s="1">
        <v>0</v>
      </c>
      <c r="D90" s="2">
        <v>0</v>
      </c>
      <c r="E90" s="2">
        <v>0</v>
      </c>
      <c r="F90" s="2">
        <v>0</v>
      </c>
      <c r="G90" s="2">
        <v>0</v>
      </c>
      <c r="H90" s="2">
        <f t="shared" si="5"/>
        <v>0</v>
      </c>
      <c r="I90" s="2">
        <f t="shared" si="5"/>
        <v>0</v>
      </c>
      <c r="J90" s="2">
        <f t="shared" si="5"/>
        <v>0</v>
      </c>
      <c r="K90" s="2">
        <f t="shared" si="5"/>
        <v>0</v>
      </c>
      <c r="L90" s="2">
        <f t="shared" si="5"/>
        <v>0</v>
      </c>
      <c r="M90" s="2">
        <f t="shared" si="5"/>
        <v>0</v>
      </c>
      <c r="N90" s="2">
        <f t="shared" si="5"/>
        <v>0</v>
      </c>
    </row>
    <row r="91" spans="1:14" x14ac:dyDescent="0.25">
      <c r="A91" s="1">
        <f t="shared" si="4"/>
        <v>0</v>
      </c>
      <c r="B91" s="2">
        <f>IF(C91=0,0,A91&amp;" "&amp;COUNTIF($A$1:$A91,A91))</f>
        <v>0</v>
      </c>
      <c r="C91" s="1">
        <v>0</v>
      </c>
      <c r="D91" s="2">
        <v>0</v>
      </c>
      <c r="E91" s="2">
        <v>0</v>
      </c>
      <c r="F91" s="2">
        <v>0</v>
      </c>
      <c r="G91" s="2">
        <v>0</v>
      </c>
      <c r="H91" s="2">
        <f t="shared" si="5"/>
        <v>0</v>
      </c>
      <c r="I91" s="2">
        <f t="shared" si="5"/>
        <v>0</v>
      </c>
      <c r="J91" s="2">
        <f t="shared" si="5"/>
        <v>0</v>
      </c>
      <c r="K91" s="2">
        <f t="shared" si="5"/>
        <v>0</v>
      </c>
      <c r="L91" s="2">
        <f t="shared" si="5"/>
        <v>0</v>
      </c>
      <c r="M91" s="2">
        <f t="shared" si="5"/>
        <v>0</v>
      </c>
      <c r="N91" s="2">
        <f t="shared" si="5"/>
        <v>0</v>
      </c>
    </row>
    <row r="92" spans="1:14" x14ac:dyDescent="0.25">
      <c r="A92" s="1">
        <f t="shared" si="4"/>
        <v>0</v>
      </c>
      <c r="B92" s="2">
        <f>IF(C92=0,0,A92&amp;" "&amp;COUNTIF($A$1:$A92,A92))</f>
        <v>0</v>
      </c>
      <c r="C92" s="1">
        <v>0</v>
      </c>
      <c r="D92" s="2">
        <v>0</v>
      </c>
      <c r="E92" s="2">
        <v>0</v>
      </c>
      <c r="F92" s="2">
        <v>0</v>
      </c>
      <c r="G92" s="2">
        <v>0</v>
      </c>
      <c r="H92" s="2">
        <f t="shared" si="5"/>
        <v>0</v>
      </c>
      <c r="I92" s="2">
        <f t="shared" si="5"/>
        <v>0</v>
      </c>
      <c r="J92" s="2">
        <f t="shared" si="5"/>
        <v>0</v>
      </c>
      <c r="K92" s="2">
        <f t="shared" si="5"/>
        <v>0</v>
      </c>
      <c r="L92" s="2">
        <f t="shared" si="5"/>
        <v>0</v>
      </c>
      <c r="M92" s="2">
        <f t="shared" si="5"/>
        <v>0</v>
      </c>
      <c r="N92" s="2">
        <f t="shared" si="5"/>
        <v>0</v>
      </c>
    </row>
    <row r="93" spans="1:14" x14ac:dyDescent="0.25">
      <c r="A93" s="1">
        <f t="shared" si="4"/>
        <v>0</v>
      </c>
      <c r="B93" s="2">
        <f>IF(C93=0,0,A93&amp;" "&amp;COUNTIF($A$1:$A93,A93))</f>
        <v>0</v>
      </c>
      <c r="C93" s="1">
        <v>0</v>
      </c>
      <c r="D93" s="2">
        <v>0</v>
      </c>
      <c r="E93" s="2">
        <v>0</v>
      </c>
      <c r="F93" s="2">
        <v>0</v>
      </c>
      <c r="G93" s="2">
        <v>0</v>
      </c>
      <c r="H93" s="2">
        <f t="shared" si="5"/>
        <v>0</v>
      </c>
      <c r="I93" s="2">
        <f t="shared" si="5"/>
        <v>0</v>
      </c>
      <c r="J93" s="2">
        <f t="shared" si="5"/>
        <v>0</v>
      </c>
      <c r="K93" s="2">
        <f t="shared" si="5"/>
        <v>0</v>
      </c>
      <c r="L93" s="2">
        <f t="shared" si="5"/>
        <v>0</v>
      </c>
      <c r="M93" s="2">
        <f t="shared" si="5"/>
        <v>0</v>
      </c>
      <c r="N93" s="2">
        <f t="shared" si="5"/>
        <v>0</v>
      </c>
    </row>
    <row r="94" spans="1:14" x14ac:dyDescent="0.25">
      <c r="A94" s="1">
        <f t="shared" si="4"/>
        <v>0</v>
      </c>
      <c r="B94" s="2">
        <f>IF(C94=0,0,A94&amp;" "&amp;COUNTIF($A$1:$A94,A94))</f>
        <v>0</v>
      </c>
      <c r="C94" s="1">
        <v>0</v>
      </c>
      <c r="D94" s="2">
        <v>0</v>
      </c>
      <c r="E94" s="2">
        <v>0</v>
      </c>
      <c r="F94" s="2">
        <v>0</v>
      </c>
      <c r="G94" s="2">
        <v>0</v>
      </c>
      <c r="H94" s="2">
        <f t="shared" si="5"/>
        <v>0</v>
      </c>
      <c r="I94" s="2">
        <f t="shared" si="5"/>
        <v>0</v>
      </c>
      <c r="J94" s="2">
        <f t="shared" si="5"/>
        <v>0</v>
      </c>
      <c r="K94" s="2">
        <f t="shared" si="5"/>
        <v>0</v>
      </c>
      <c r="L94" s="2">
        <f t="shared" si="5"/>
        <v>0</v>
      </c>
      <c r="M94" s="2">
        <f t="shared" si="5"/>
        <v>0</v>
      </c>
      <c r="N94" s="2">
        <f t="shared" si="5"/>
        <v>0</v>
      </c>
    </row>
    <row r="95" spans="1:14" x14ac:dyDescent="0.25">
      <c r="A95" s="1">
        <f t="shared" si="4"/>
        <v>0</v>
      </c>
      <c r="B95" s="2">
        <f>IF(C95=0,0,A95&amp;" "&amp;COUNTIF($A$1:$A95,A95))</f>
        <v>0</v>
      </c>
      <c r="C95" s="1">
        <v>0</v>
      </c>
      <c r="D95" s="2">
        <v>0</v>
      </c>
      <c r="E95" s="2">
        <v>0</v>
      </c>
      <c r="F95" s="2">
        <v>0</v>
      </c>
      <c r="G95" s="2">
        <v>0</v>
      </c>
      <c r="H95" s="2">
        <f t="shared" si="5"/>
        <v>0</v>
      </c>
      <c r="I95" s="2">
        <f t="shared" si="5"/>
        <v>0</v>
      </c>
      <c r="J95" s="2">
        <f t="shared" si="5"/>
        <v>0</v>
      </c>
      <c r="K95" s="2">
        <f t="shared" si="5"/>
        <v>0</v>
      </c>
      <c r="L95" s="2">
        <f t="shared" si="5"/>
        <v>0</v>
      </c>
      <c r="M95" s="2">
        <f t="shared" si="5"/>
        <v>0</v>
      </c>
      <c r="N95" s="2">
        <f t="shared" si="5"/>
        <v>0</v>
      </c>
    </row>
    <row r="96" spans="1:14" x14ac:dyDescent="0.25">
      <c r="A96" s="1">
        <f t="shared" si="4"/>
        <v>0</v>
      </c>
      <c r="B96" s="2">
        <f>IF(C96=0,0,A96&amp;" "&amp;COUNTIF($A$1:$A96,A96))</f>
        <v>0</v>
      </c>
      <c r="C96" s="1">
        <v>0</v>
      </c>
      <c r="D96" s="2">
        <v>0</v>
      </c>
      <c r="E96" s="2">
        <v>0</v>
      </c>
      <c r="F96" s="2">
        <v>0</v>
      </c>
      <c r="G96" s="2">
        <v>0</v>
      </c>
      <c r="H96" s="2">
        <f t="shared" si="5"/>
        <v>0</v>
      </c>
      <c r="I96" s="2">
        <f t="shared" si="5"/>
        <v>0</v>
      </c>
      <c r="J96" s="2">
        <f t="shared" si="5"/>
        <v>0</v>
      </c>
      <c r="K96" s="2">
        <f t="shared" si="5"/>
        <v>0</v>
      </c>
      <c r="L96" s="2">
        <f t="shared" si="5"/>
        <v>0</v>
      </c>
      <c r="M96" s="2">
        <f t="shared" si="5"/>
        <v>0</v>
      </c>
      <c r="N96" s="2">
        <f t="shared" si="5"/>
        <v>0</v>
      </c>
    </row>
    <row r="97" spans="1:14" x14ac:dyDescent="0.25">
      <c r="A97" s="1">
        <f t="shared" si="4"/>
        <v>0</v>
      </c>
      <c r="B97" s="2">
        <f>IF(C97=0,0,A97&amp;" "&amp;COUNTIF($A$1:$A97,A97))</f>
        <v>0</v>
      </c>
      <c r="C97" s="1">
        <v>0</v>
      </c>
      <c r="D97" s="2">
        <v>0</v>
      </c>
      <c r="E97" s="2">
        <v>0</v>
      </c>
      <c r="F97" s="2">
        <v>0</v>
      </c>
      <c r="G97" s="2">
        <v>0</v>
      </c>
      <c r="H97" s="2">
        <f t="shared" si="5"/>
        <v>0</v>
      </c>
      <c r="I97" s="2">
        <f t="shared" si="5"/>
        <v>0</v>
      </c>
      <c r="J97" s="2">
        <f t="shared" si="5"/>
        <v>0</v>
      </c>
      <c r="K97" s="2">
        <f t="shared" si="5"/>
        <v>0</v>
      </c>
      <c r="L97" s="2">
        <f t="shared" si="5"/>
        <v>0</v>
      </c>
      <c r="M97" s="2">
        <f t="shared" si="5"/>
        <v>0</v>
      </c>
      <c r="N97" s="2">
        <f t="shared" si="5"/>
        <v>0</v>
      </c>
    </row>
    <row r="98" spans="1:14" x14ac:dyDescent="0.25">
      <c r="A98" s="1">
        <f t="shared" si="4"/>
        <v>0</v>
      </c>
      <c r="B98" s="2">
        <f>IF(C98=0,0,A98&amp;" "&amp;COUNTIF($A$1:$A98,A98))</f>
        <v>0</v>
      </c>
      <c r="C98" s="1">
        <v>0</v>
      </c>
      <c r="D98" s="2">
        <v>0</v>
      </c>
      <c r="E98" s="2">
        <v>0</v>
      </c>
      <c r="F98" s="2">
        <v>0</v>
      </c>
      <c r="G98" s="2">
        <v>0</v>
      </c>
      <c r="H98" s="2">
        <f t="shared" si="5"/>
        <v>0</v>
      </c>
      <c r="I98" s="2">
        <f t="shared" si="5"/>
        <v>0</v>
      </c>
      <c r="J98" s="2">
        <f t="shared" si="5"/>
        <v>0</v>
      </c>
      <c r="K98" s="2">
        <f t="shared" si="5"/>
        <v>0</v>
      </c>
      <c r="L98" s="2">
        <f t="shared" si="5"/>
        <v>0</v>
      </c>
      <c r="M98" s="2">
        <f t="shared" si="5"/>
        <v>0</v>
      </c>
      <c r="N98" s="2">
        <f t="shared" si="5"/>
        <v>0</v>
      </c>
    </row>
    <row r="99" spans="1:14" x14ac:dyDescent="0.25">
      <c r="A99" s="1">
        <f t="shared" si="4"/>
        <v>0</v>
      </c>
      <c r="B99" s="2">
        <f>IF(C99=0,0,A99&amp;" "&amp;COUNTIF($A$1:$A99,A99))</f>
        <v>0</v>
      </c>
      <c r="C99" s="1">
        <v>0</v>
      </c>
      <c r="D99" s="2">
        <v>0</v>
      </c>
      <c r="E99" s="2">
        <v>0</v>
      </c>
      <c r="F99" s="2">
        <v>0</v>
      </c>
      <c r="G99" s="2">
        <v>0</v>
      </c>
      <c r="H99" s="2">
        <f t="shared" si="5"/>
        <v>0</v>
      </c>
      <c r="I99" s="2">
        <f t="shared" si="5"/>
        <v>0</v>
      </c>
      <c r="J99" s="2">
        <f t="shared" si="5"/>
        <v>0</v>
      </c>
      <c r="K99" s="2">
        <f t="shared" si="5"/>
        <v>0</v>
      </c>
      <c r="L99" s="2">
        <f t="shared" si="5"/>
        <v>0</v>
      </c>
      <c r="M99" s="2">
        <f t="shared" si="5"/>
        <v>0</v>
      </c>
      <c r="N99" s="2">
        <f t="shared" si="5"/>
        <v>0</v>
      </c>
    </row>
    <row r="100" spans="1:14" x14ac:dyDescent="0.25">
      <c r="A100" s="1">
        <f t="shared" si="4"/>
        <v>0</v>
      </c>
      <c r="B100" s="2">
        <f>IF(C100=0,0,A100&amp;" "&amp;COUNTIF($A$1:$A100,A100))</f>
        <v>0</v>
      </c>
      <c r="C100" s="1">
        <v>0</v>
      </c>
      <c r="D100" s="2">
        <v>0</v>
      </c>
      <c r="E100" s="2">
        <v>0</v>
      </c>
      <c r="F100" s="2">
        <v>0</v>
      </c>
      <c r="G100" s="2">
        <v>0</v>
      </c>
      <c r="H100" s="2">
        <f t="shared" si="5"/>
        <v>0</v>
      </c>
      <c r="I100" s="2">
        <f t="shared" si="5"/>
        <v>0</v>
      </c>
      <c r="J100" s="2">
        <f t="shared" si="5"/>
        <v>0</v>
      </c>
      <c r="K100" s="2">
        <f t="shared" si="5"/>
        <v>0</v>
      </c>
      <c r="L100" s="2">
        <f t="shared" si="5"/>
        <v>0</v>
      </c>
      <c r="M100" s="2">
        <f t="shared" si="5"/>
        <v>0</v>
      </c>
      <c r="N100" s="2">
        <f t="shared" si="5"/>
        <v>0</v>
      </c>
    </row>
    <row r="101" spans="1:14" x14ac:dyDescent="0.25">
      <c r="A101" s="1">
        <f t="shared" si="4"/>
        <v>0</v>
      </c>
      <c r="B101" s="2">
        <f>IF(C101=0,0,A101&amp;" "&amp;COUNTIF($A$1:$A101,A101))</f>
        <v>0</v>
      </c>
      <c r="C101" s="1">
        <v>0</v>
      </c>
      <c r="D101" s="2">
        <v>0</v>
      </c>
      <c r="E101" s="2">
        <v>0</v>
      </c>
      <c r="F101" s="2">
        <v>0</v>
      </c>
      <c r="G101" s="2">
        <v>0</v>
      </c>
      <c r="H101" s="2">
        <f t="shared" si="5"/>
        <v>0</v>
      </c>
      <c r="I101" s="2">
        <f t="shared" si="5"/>
        <v>0</v>
      </c>
      <c r="J101" s="2">
        <f t="shared" si="5"/>
        <v>0</v>
      </c>
      <c r="K101" s="2">
        <f t="shared" si="5"/>
        <v>0</v>
      </c>
      <c r="L101" s="2">
        <f t="shared" si="5"/>
        <v>0</v>
      </c>
      <c r="M101" s="2">
        <f t="shared" si="5"/>
        <v>0</v>
      </c>
      <c r="N101" s="2">
        <f t="shared" si="5"/>
        <v>0</v>
      </c>
    </row>
    <row r="102" spans="1:14" x14ac:dyDescent="0.25">
      <c r="A102" s="1">
        <f t="shared" si="4"/>
        <v>0</v>
      </c>
      <c r="B102" s="2">
        <f>IF(C102=0,0,A102&amp;" "&amp;COUNTIF($A$1:$A102,A102))</f>
        <v>0</v>
      </c>
      <c r="C102" s="1">
        <v>0</v>
      </c>
      <c r="D102" s="2">
        <v>0</v>
      </c>
      <c r="E102" s="2">
        <v>0</v>
      </c>
      <c r="F102" s="2">
        <v>0</v>
      </c>
      <c r="G102" s="2">
        <v>0</v>
      </c>
      <c r="H102" s="2">
        <f t="shared" si="5"/>
        <v>0</v>
      </c>
      <c r="I102" s="2">
        <f t="shared" si="5"/>
        <v>0</v>
      </c>
      <c r="J102" s="2">
        <f t="shared" si="5"/>
        <v>0</v>
      </c>
      <c r="K102" s="2">
        <f t="shared" si="5"/>
        <v>0</v>
      </c>
      <c r="L102" s="2">
        <f t="shared" si="5"/>
        <v>0</v>
      </c>
      <c r="M102" s="2">
        <f t="shared" si="5"/>
        <v>0</v>
      </c>
      <c r="N102" s="2">
        <f t="shared" si="5"/>
        <v>0</v>
      </c>
    </row>
    <row r="103" spans="1:14" x14ac:dyDescent="0.25">
      <c r="A103" s="1">
        <f t="shared" si="4"/>
        <v>0</v>
      </c>
      <c r="B103" s="2">
        <f>IF(C103=0,0,A103&amp;" "&amp;COUNTIF($A$1:$A103,A103))</f>
        <v>0</v>
      </c>
      <c r="C103" s="1">
        <v>0</v>
      </c>
      <c r="D103" s="2">
        <v>0</v>
      </c>
      <c r="E103" s="2">
        <v>0</v>
      </c>
      <c r="F103" s="2">
        <v>0</v>
      </c>
      <c r="G103" s="2">
        <v>0</v>
      </c>
      <c r="H103" s="2">
        <f t="shared" si="5"/>
        <v>0</v>
      </c>
      <c r="I103" s="2">
        <f t="shared" si="5"/>
        <v>0</v>
      </c>
      <c r="J103" s="2">
        <f t="shared" si="5"/>
        <v>0</v>
      </c>
      <c r="K103" s="2">
        <f t="shared" si="5"/>
        <v>0</v>
      </c>
      <c r="L103" s="2">
        <f t="shared" si="5"/>
        <v>0</v>
      </c>
      <c r="M103" s="2">
        <f t="shared" si="5"/>
        <v>0</v>
      </c>
      <c r="N103" s="2">
        <f t="shared" si="5"/>
        <v>0</v>
      </c>
    </row>
    <row r="104" spans="1:14" x14ac:dyDescent="0.25">
      <c r="A104" s="1">
        <f t="shared" si="4"/>
        <v>0</v>
      </c>
      <c r="B104" s="2">
        <f>IF(C104=0,0,A104&amp;" "&amp;COUNTIF($A$1:$A104,A104))</f>
        <v>0</v>
      </c>
      <c r="C104" s="1">
        <v>0</v>
      </c>
      <c r="D104" s="2">
        <v>0</v>
      </c>
      <c r="E104" s="2">
        <v>0</v>
      </c>
      <c r="F104" s="2">
        <v>0</v>
      </c>
      <c r="G104" s="2">
        <v>0</v>
      </c>
      <c r="H104" s="2">
        <f t="shared" si="5"/>
        <v>0</v>
      </c>
      <c r="I104" s="2">
        <f t="shared" si="5"/>
        <v>0</v>
      </c>
      <c r="J104" s="2">
        <f t="shared" si="5"/>
        <v>0</v>
      </c>
      <c r="K104" s="2">
        <f t="shared" si="5"/>
        <v>0</v>
      </c>
      <c r="L104" s="2">
        <f t="shared" si="5"/>
        <v>0</v>
      </c>
      <c r="M104" s="2">
        <f t="shared" si="5"/>
        <v>0</v>
      </c>
      <c r="N104" s="2">
        <f t="shared" si="5"/>
        <v>0</v>
      </c>
    </row>
    <row r="105" spans="1:14" x14ac:dyDescent="0.25">
      <c r="A105" s="1">
        <f t="shared" si="4"/>
        <v>0</v>
      </c>
      <c r="B105" s="2">
        <f>IF(C105=0,0,A105&amp;" "&amp;COUNTIF($A$1:$A105,A105))</f>
        <v>0</v>
      </c>
      <c r="C105" s="1">
        <v>0</v>
      </c>
      <c r="D105" s="2">
        <v>0</v>
      </c>
      <c r="E105" s="2">
        <v>0</v>
      </c>
      <c r="F105" s="2">
        <v>0</v>
      </c>
      <c r="G105" s="2">
        <v>0</v>
      </c>
      <c r="H105" s="2">
        <f t="shared" si="5"/>
        <v>0</v>
      </c>
      <c r="I105" s="2">
        <f t="shared" si="5"/>
        <v>0</v>
      </c>
      <c r="J105" s="2">
        <f t="shared" si="5"/>
        <v>0</v>
      </c>
      <c r="K105" s="2">
        <f t="shared" si="5"/>
        <v>0</v>
      </c>
      <c r="L105" s="2">
        <f t="shared" si="5"/>
        <v>0</v>
      </c>
      <c r="M105" s="2">
        <f t="shared" si="5"/>
        <v>0</v>
      </c>
      <c r="N105" s="2">
        <f t="shared" si="5"/>
        <v>0</v>
      </c>
    </row>
    <row r="106" spans="1:14" x14ac:dyDescent="0.25">
      <c r="A106" s="1">
        <f t="shared" si="4"/>
        <v>0</v>
      </c>
      <c r="B106" s="2">
        <f>IF(C106=0,0,A106&amp;" "&amp;COUNTIF($A$1:$A106,A106))</f>
        <v>0</v>
      </c>
      <c r="C106" s="1">
        <v>0</v>
      </c>
      <c r="D106" s="2">
        <v>0</v>
      </c>
      <c r="E106" s="2">
        <v>0</v>
      </c>
      <c r="F106" s="2">
        <v>0</v>
      </c>
      <c r="G106" s="2">
        <v>0</v>
      </c>
      <c r="H106" s="2">
        <f t="shared" si="5"/>
        <v>0</v>
      </c>
      <c r="I106" s="2">
        <f t="shared" si="5"/>
        <v>0</v>
      </c>
      <c r="J106" s="2">
        <f t="shared" si="5"/>
        <v>0</v>
      </c>
      <c r="K106" s="2">
        <f t="shared" si="5"/>
        <v>0</v>
      </c>
      <c r="L106" s="2">
        <f t="shared" si="5"/>
        <v>0</v>
      </c>
      <c r="M106" s="2">
        <f t="shared" si="5"/>
        <v>0</v>
      </c>
      <c r="N106" s="2">
        <f t="shared" si="5"/>
        <v>0</v>
      </c>
    </row>
    <row r="107" spans="1:14" x14ac:dyDescent="0.25">
      <c r="A107" s="1">
        <f t="shared" si="4"/>
        <v>0</v>
      </c>
      <c r="B107" s="2">
        <f>IF(C107=0,0,A107&amp;" "&amp;COUNTIF($A$1:$A107,A107))</f>
        <v>0</v>
      </c>
      <c r="C107" s="1">
        <v>0</v>
      </c>
      <c r="D107" s="2">
        <v>0</v>
      </c>
      <c r="E107" s="2">
        <v>0</v>
      </c>
      <c r="F107" s="2">
        <v>0</v>
      </c>
      <c r="G107" s="2">
        <v>0</v>
      </c>
      <c r="H107" s="2">
        <f t="shared" si="5"/>
        <v>0</v>
      </c>
      <c r="I107" s="2">
        <f t="shared" si="5"/>
        <v>0</v>
      </c>
      <c r="J107" s="2">
        <f t="shared" si="5"/>
        <v>0</v>
      </c>
      <c r="K107" s="2">
        <f t="shared" si="5"/>
        <v>0</v>
      </c>
      <c r="L107" s="2">
        <f t="shared" si="5"/>
        <v>0</v>
      </c>
      <c r="M107" s="2">
        <f t="shared" si="5"/>
        <v>0</v>
      </c>
      <c r="N107" s="2">
        <f t="shared" si="5"/>
        <v>0</v>
      </c>
    </row>
    <row r="108" spans="1:14" x14ac:dyDescent="0.25">
      <c r="A108" s="1">
        <f t="shared" si="4"/>
        <v>0</v>
      </c>
      <c r="B108" s="2">
        <f>IF(C108=0,0,A108&amp;" "&amp;COUNTIF($A$1:$A108,A108))</f>
        <v>0</v>
      </c>
      <c r="C108" s="1">
        <v>0</v>
      </c>
      <c r="D108" s="2">
        <v>0</v>
      </c>
      <c r="E108" s="2">
        <v>0</v>
      </c>
      <c r="F108" s="2">
        <v>0</v>
      </c>
      <c r="G108" s="2">
        <v>0</v>
      </c>
      <c r="H108" s="2">
        <f t="shared" si="5"/>
        <v>0</v>
      </c>
      <c r="I108" s="2">
        <f t="shared" si="5"/>
        <v>0</v>
      </c>
      <c r="J108" s="2">
        <f t="shared" si="5"/>
        <v>0</v>
      </c>
      <c r="K108" s="2">
        <f t="shared" si="5"/>
        <v>0</v>
      </c>
      <c r="L108" s="2">
        <f t="shared" si="5"/>
        <v>0</v>
      </c>
      <c r="M108" s="2">
        <f t="shared" si="5"/>
        <v>0</v>
      </c>
      <c r="N108" s="2">
        <f t="shared" si="5"/>
        <v>0</v>
      </c>
    </row>
    <row r="109" spans="1:14" x14ac:dyDescent="0.25">
      <c r="A109" s="1">
        <f t="shared" si="4"/>
        <v>0</v>
      </c>
      <c r="B109" s="2">
        <f>IF(C109=0,0,A109&amp;" "&amp;COUNTIF($A$1:$A109,A109))</f>
        <v>0</v>
      </c>
      <c r="C109" s="1">
        <v>0</v>
      </c>
      <c r="D109" s="2">
        <v>0</v>
      </c>
      <c r="E109" s="2">
        <v>0</v>
      </c>
      <c r="F109" s="2">
        <v>0</v>
      </c>
      <c r="G109" s="2">
        <v>0</v>
      </c>
      <c r="H109" s="2">
        <f t="shared" si="5"/>
        <v>0</v>
      </c>
      <c r="I109" s="2">
        <f t="shared" si="5"/>
        <v>0</v>
      </c>
      <c r="J109" s="2">
        <f t="shared" si="5"/>
        <v>0</v>
      </c>
      <c r="K109" s="2">
        <f t="shared" si="5"/>
        <v>0</v>
      </c>
      <c r="L109" s="2">
        <f t="shared" si="5"/>
        <v>0</v>
      </c>
      <c r="M109" s="2">
        <f t="shared" si="5"/>
        <v>0</v>
      </c>
      <c r="N109" s="2">
        <f t="shared" si="5"/>
        <v>0</v>
      </c>
    </row>
    <row r="110" spans="1:14" x14ac:dyDescent="0.25">
      <c r="A110" s="1">
        <f t="shared" si="4"/>
        <v>0</v>
      </c>
      <c r="B110" s="2">
        <f>IF(C110=0,0,A110&amp;" "&amp;COUNTIF($A$1:$A110,A110))</f>
        <v>0</v>
      </c>
      <c r="C110" s="1">
        <v>0</v>
      </c>
      <c r="D110" s="2">
        <v>0</v>
      </c>
      <c r="E110" s="2">
        <v>0</v>
      </c>
      <c r="F110" s="2">
        <v>0</v>
      </c>
      <c r="G110" s="2">
        <v>0</v>
      </c>
      <c r="H110" s="2">
        <f t="shared" si="5"/>
        <v>0</v>
      </c>
      <c r="I110" s="2">
        <f t="shared" si="5"/>
        <v>0</v>
      </c>
      <c r="J110" s="2">
        <f t="shared" si="5"/>
        <v>0</v>
      </c>
      <c r="K110" s="2">
        <f t="shared" si="5"/>
        <v>0</v>
      </c>
      <c r="L110" s="2">
        <f t="shared" si="5"/>
        <v>0</v>
      </c>
      <c r="M110" s="2">
        <f t="shared" si="5"/>
        <v>0</v>
      </c>
      <c r="N110" s="2">
        <f t="shared" si="5"/>
        <v>0</v>
      </c>
    </row>
    <row r="111" spans="1:14" x14ac:dyDescent="0.25">
      <c r="A111" s="1">
        <f t="shared" si="4"/>
        <v>0</v>
      </c>
      <c r="B111" s="2">
        <f>IF(C111=0,0,A111&amp;" "&amp;COUNTIF($A$1:$A111,A111))</f>
        <v>0</v>
      </c>
      <c r="C111" s="1">
        <v>0</v>
      </c>
      <c r="D111" s="2">
        <v>0</v>
      </c>
      <c r="E111" s="2">
        <v>0</v>
      </c>
      <c r="F111" s="2">
        <v>0</v>
      </c>
      <c r="G111" s="2">
        <v>0</v>
      </c>
      <c r="H111" s="2">
        <f t="shared" ref="H111:N147" si="6">IF($D111=H$1,$C111*1,0)</f>
        <v>0</v>
      </c>
      <c r="I111" s="2">
        <f t="shared" si="6"/>
        <v>0</v>
      </c>
      <c r="J111" s="2">
        <f t="shared" si="6"/>
        <v>0</v>
      </c>
      <c r="K111" s="2">
        <f t="shared" si="6"/>
        <v>0</v>
      </c>
      <c r="L111" s="2">
        <f t="shared" si="6"/>
        <v>0</v>
      </c>
      <c r="M111" s="2">
        <f t="shared" si="6"/>
        <v>0</v>
      </c>
      <c r="N111" s="2">
        <f t="shared" si="6"/>
        <v>0</v>
      </c>
    </row>
    <row r="112" spans="1:14" x14ac:dyDescent="0.25">
      <c r="A112" s="1">
        <f t="shared" si="4"/>
        <v>0</v>
      </c>
      <c r="B112" s="2">
        <f>IF(C112=0,0,A112&amp;" "&amp;COUNTIF($A$1:$A112,A112))</f>
        <v>0</v>
      </c>
      <c r="C112" s="1">
        <v>0</v>
      </c>
      <c r="D112" s="2">
        <v>0</v>
      </c>
      <c r="E112" s="2">
        <v>0</v>
      </c>
      <c r="F112" s="2">
        <v>0</v>
      </c>
      <c r="G112" s="2">
        <v>0</v>
      </c>
      <c r="H112" s="2">
        <f t="shared" si="6"/>
        <v>0</v>
      </c>
      <c r="I112" s="2">
        <f t="shared" si="6"/>
        <v>0</v>
      </c>
      <c r="J112" s="2">
        <f t="shared" si="6"/>
        <v>0</v>
      </c>
      <c r="K112" s="2">
        <f t="shared" si="6"/>
        <v>0</v>
      </c>
      <c r="L112" s="2">
        <f t="shared" si="6"/>
        <v>0</v>
      </c>
      <c r="M112" s="2">
        <f t="shared" si="6"/>
        <v>0</v>
      </c>
      <c r="N112" s="2">
        <f t="shared" si="6"/>
        <v>0</v>
      </c>
    </row>
    <row r="113" spans="1:14" x14ac:dyDescent="0.25">
      <c r="A113" s="1">
        <f t="shared" si="4"/>
        <v>0</v>
      </c>
      <c r="B113" s="2">
        <f>IF(C113=0,0,A113&amp;" "&amp;COUNTIF($A$1:$A113,A113))</f>
        <v>0</v>
      </c>
      <c r="C113" s="1">
        <v>0</v>
      </c>
      <c r="D113" s="2">
        <v>0</v>
      </c>
      <c r="E113" s="2">
        <v>0</v>
      </c>
      <c r="F113" s="2">
        <v>0</v>
      </c>
      <c r="G113" s="2">
        <v>0</v>
      </c>
      <c r="H113" s="2">
        <f t="shared" si="6"/>
        <v>0</v>
      </c>
      <c r="I113" s="2">
        <f t="shared" si="6"/>
        <v>0</v>
      </c>
      <c r="J113" s="2">
        <f t="shared" si="6"/>
        <v>0</v>
      </c>
      <c r="K113" s="2">
        <f t="shared" si="6"/>
        <v>0</v>
      </c>
      <c r="L113" s="2">
        <f t="shared" si="6"/>
        <v>0</v>
      </c>
      <c r="M113" s="2">
        <f t="shared" si="6"/>
        <v>0</v>
      </c>
      <c r="N113" s="2">
        <f t="shared" si="6"/>
        <v>0</v>
      </c>
    </row>
    <row r="114" spans="1:14" x14ac:dyDescent="0.25">
      <c r="A114" s="1">
        <f t="shared" si="4"/>
        <v>0</v>
      </c>
      <c r="B114" s="2">
        <f>IF(C114=0,0,A114&amp;" "&amp;COUNTIF($A$1:$A114,A114))</f>
        <v>0</v>
      </c>
      <c r="C114" s="1">
        <v>0</v>
      </c>
      <c r="D114" s="2">
        <v>0</v>
      </c>
      <c r="E114" s="2">
        <v>0</v>
      </c>
      <c r="F114" s="2">
        <v>0</v>
      </c>
      <c r="G114" s="2">
        <v>0</v>
      </c>
      <c r="H114" s="2">
        <f t="shared" si="6"/>
        <v>0</v>
      </c>
      <c r="I114" s="2">
        <f t="shared" si="6"/>
        <v>0</v>
      </c>
      <c r="J114" s="2">
        <f t="shared" si="6"/>
        <v>0</v>
      </c>
      <c r="K114" s="2">
        <f t="shared" si="6"/>
        <v>0</v>
      </c>
      <c r="L114" s="2">
        <f t="shared" si="6"/>
        <v>0</v>
      </c>
      <c r="M114" s="2">
        <f t="shared" si="6"/>
        <v>0</v>
      </c>
      <c r="N114" s="2">
        <f t="shared" si="6"/>
        <v>0</v>
      </c>
    </row>
    <row r="115" spans="1:14" x14ac:dyDescent="0.25">
      <c r="A115" s="1">
        <f t="shared" si="4"/>
        <v>0</v>
      </c>
      <c r="B115" s="2">
        <f>IF(C115=0,0,A115&amp;" "&amp;COUNTIF($A$1:$A115,A115))</f>
        <v>0</v>
      </c>
      <c r="C115" s="1">
        <v>0</v>
      </c>
      <c r="D115" s="2">
        <v>0</v>
      </c>
      <c r="E115" s="2">
        <v>0</v>
      </c>
      <c r="F115" s="2">
        <v>0</v>
      </c>
      <c r="G115" s="2">
        <v>0</v>
      </c>
      <c r="H115" s="2">
        <f t="shared" si="6"/>
        <v>0</v>
      </c>
      <c r="I115" s="2">
        <f t="shared" si="6"/>
        <v>0</v>
      </c>
      <c r="J115" s="2">
        <f t="shared" si="6"/>
        <v>0</v>
      </c>
      <c r="K115" s="2">
        <f t="shared" si="6"/>
        <v>0</v>
      </c>
      <c r="L115" s="2">
        <f t="shared" si="6"/>
        <v>0</v>
      </c>
      <c r="M115" s="2">
        <f t="shared" si="6"/>
        <v>0</v>
      </c>
      <c r="N115" s="2">
        <f t="shared" si="6"/>
        <v>0</v>
      </c>
    </row>
    <row r="116" spans="1:14" x14ac:dyDescent="0.25">
      <c r="A116" s="1">
        <f t="shared" si="4"/>
        <v>0</v>
      </c>
      <c r="B116" s="2">
        <f>IF(C116=0,0,A116&amp;" "&amp;COUNTIF($A$1:$A116,A116))</f>
        <v>0</v>
      </c>
      <c r="C116" s="1">
        <v>0</v>
      </c>
      <c r="D116" s="2">
        <v>0</v>
      </c>
      <c r="E116" s="2">
        <v>0</v>
      </c>
      <c r="F116" s="2">
        <v>0</v>
      </c>
      <c r="G116" s="2">
        <v>0</v>
      </c>
      <c r="H116" s="2">
        <f t="shared" si="6"/>
        <v>0</v>
      </c>
      <c r="I116" s="2">
        <f t="shared" si="6"/>
        <v>0</v>
      </c>
      <c r="J116" s="2">
        <f t="shared" si="6"/>
        <v>0</v>
      </c>
      <c r="K116" s="2">
        <f t="shared" si="6"/>
        <v>0</v>
      </c>
      <c r="L116" s="2">
        <f t="shared" si="6"/>
        <v>0</v>
      </c>
      <c r="M116" s="2">
        <f t="shared" si="6"/>
        <v>0</v>
      </c>
      <c r="N116" s="2">
        <f t="shared" si="6"/>
        <v>0</v>
      </c>
    </row>
    <row r="117" spans="1:14" x14ac:dyDescent="0.25">
      <c r="A117" s="1">
        <f t="shared" si="4"/>
        <v>0</v>
      </c>
      <c r="B117" s="2">
        <f>IF(C117=0,0,A117&amp;" "&amp;COUNTIF($A$1:$A117,A117))</f>
        <v>0</v>
      </c>
      <c r="C117" s="1">
        <v>0</v>
      </c>
      <c r="D117" s="2">
        <v>0</v>
      </c>
      <c r="E117" s="2">
        <v>0</v>
      </c>
      <c r="F117" s="2">
        <v>0</v>
      </c>
      <c r="G117" s="2">
        <v>0</v>
      </c>
      <c r="H117" s="2">
        <f t="shared" si="6"/>
        <v>0</v>
      </c>
      <c r="I117" s="2">
        <f t="shared" si="6"/>
        <v>0</v>
      </c>
      <c r="J117" s="2">
        <f t="shared" si="6"/>
        <v>0</v>
      </c>
      <c r="K117" s="2">
        <f t="shared" si="6"/>
        <v>0</v>
      </c>
      <c r="L117" s="2">
        <f t="shared" si="6"/>
        <v>0</v>
      </c>
      <c r="M117" s="2">
        <f t="shared" si="6"/>
        <v>0</v>
      </c>
      <c r="N117" s="2">
        <f t="shared" si="6"/>
        <v>0</v>
      </c>
    </row>
    <row r="118" spans="1:14" x14ac:dyDescent="0.25">
      <c r="A118" s="1">
        <f t="shared" si="4"/>
        <v>0</v>
      </c>
      <c r="B118" s="2">
        <f>IF(C118=0,0,A118&amp;" "&amp;COUNTIF($A$1:$A118,A118))</f>
        <v>0</v>
      </c>
      <c r="C118" s="1">
        <v>0</v>
      </c>
      <c r="D118" s="2">
        <v>0</v>
      </c>
      <c r="E118" s="2">
        <v>0</v>
      </c>
      <c r="F118" s="2">
        <v>0</v>
      </c>
      <c r="G118" s="2">
        <v>0</v>
      </c>
      <c r="H118" s="2">
        <f t="shared" si="6"/>
        <v>0</v>
      </c>
      <c r="I118" s="2">
        <f t="shared" si="6"/>
        <v>0</v>
      </c>
      <c r="J118" s="2">
        <f t="shared" si="6"/>
        <v>0</v>
      </c>
      <c r="K118" s="2">
        <f t="shared" si="6"/>
        <v>0</v>
      </c>
      <c r="L118" s="2">
        <f t="shared" si="6"/>
        <v>0</v>
      </c>
      <c r="M118" s="2">
        <f t="shared" si="6"/>
        <v>0</v>
      </c>
      <c r="N118" s="2">
        <f t="shared" si="6"/>
        <v>0</v>
      </c>
    </row>
    <row r="119" spans="1:14" x14ac:dyDescent="0.25">
      <c r="A119" s="1">
        <f t="shared" si="4"/>
        <v>0</v>
      </c>
      <c r="B119" s="2">
        <f>IF(C119=0,0,A119&amp;" "&amp;COUNTIF($A$1:$A119,A119))</f>
        <v>0</v>
      </c>
      <c r="C119" s="1">
        <v>0</v>
      </c>
      <c r="D119" s="2">
        <v>0</v>
      </c>
      <c r="E119" s="2">
        <v>0</v>
      </c>
      <c r="F119" s="2">
        <v>0</v>
      </c>
      <c r="G119" s="2">
        <v>0</v>
      </c>
      <c r="H119" s="2">
        <f t="shared" si="6"/>
        <v>0</v>
      </c>
      <c r="I119" s="2">
        <f t="shared" si="6"/>
        <v>0</v>
      </c>
      <c r="J119" s="2">
        <f t="shared" si="6"/>
        <v>0</v>
      </c>
      <c r="K119" s="2">
        <f t="shared" si="6"/>
        <v>0</v>
      </c>
      <c r="L119" s="2">
        <f t="shared" si="6"/>
        <v>0</v>
      </c>
      <c r="M119" s="2">
        <f t="shared" si="6"/>
        <v>0</v>
      </c>
      <c r="N119" s="2">
        <f t="shared" si="6"/>
        <v>0</v>
      </c>
    </row>
    <row r="120" spans="1:14" x14ac:dyDescent="0.25">
      <c r="A120" s="1">
        <f t="shared" si="4"/>
        <v>0</v>
      </c>
      <c r="B120" s="2">
        <f>IF(C120=0,0,A120&amp;" "&amp;COUNTIF($A$1:$A120,A120))</f>
        <v>0</v>
      </c>
      <c r="C120" s="1">
        <v>0</v>
      </c>
      <c r="D120" s="2">
        <v>0</v>
      </c>
      <c r="E120" s="2">
        <v>0</v>
      </c>
      <c r="F120" s="2">
        <v>0</v>
      </c>
      <c r="G120" s="2">
        <v>0</v>
      </c>
      <c r="H120" s="2">
        <f t="shared" si="6"/>
        <v>0</v>
      </c>
      <c r="I120" s="2">
        <f t="shared" si="6"/>
        <v>0</v>
      </c>
      <c r="J120" s="2">
        <f t="shared" si="6"/>
        <v>0</v>
      </c>
      <c r="K120" s="2">
        <f t="shared" si="6"/>
        <v>0</v>
      </c>
      <c r="L120" s="2">
        <f t="shared" si="6"/>
        <v>0</v>
      </c>
      <c r="M120" s="2">
        <f t="shared" si="6"/>
        <v>0</v>
      </c>
      <c r="N120" s="2">
        <f t="shared" si="6"/>
        <v>0</v>
      </c>
    </row>
    <row r="121" spans="1:14" x14ac:dyDescent="0.25">
      <c r="A121" s="1">
        <f t="shared" si="4"/>
        <v>0</v>
      </c>
      <c r="B121" s="2">
        <f>IF(C121=0,0,A121&amp;" "&amp;COUNTIF($A$1:$A121,A121))</f>
        <v>0</v>
      </c>
      <c r="C121" s="1">
        <v>0</v>
      </c>
      <c r="D121" s="2">
        <v>0</v>
      </c>
      <c r="E121" s="2">
        <v>0</v>
      </c>
      <c r="F121" s="2">
        <v>0</v>
      </c>
      <c r="G121" s="2">
        <v>0</v>
      </c>
      <c r="H121" s="2">
        <f t="shared" si="6"/>
        <v>0</v>
      </c>
      <c r="I121" s="2">
        <f t="shared" si="6"/>
        <v>0</v>
      </c>
      <c r="J121" s="2">
        <f t="shared" si="6"/>
        <v>0</v>
      </c>
      <c r="K121" s="2">
        <f t="shared" si="6"/>
        <v>0</v>
      </c>
      <c r="L121" s="2">
        <f t="shared" si="6"/>
        <v>0</v>
      </c>
      <c r="M121" s="2">
        <f t="shared" si="6"/>
        <v>0</v>
      </c>
      <c r="N121" s="2">
        <f t="shared" si="6"/>
        <v>0</v>
      </c>
    </row>
    <row r="122" spans="1:14" x14ac:dyDescent="0.25">
      <c r="A122" s="1">
        <f t="shared" si="4"/>
        <v>0</v>
      </c>
      <c r="B122" s="2">
        <f>IF(C122=0,0,A122&amp;" "&amp;COUNTIF($A$1:$A122,A122))</f>
        <v>0</v>
      </c>
      <c r="C122" s="1">
        <v>0</v>
      </c>
      <c r="D122" s="2">
        <v>0</v>
      </c>
      <c r="E122" s="2">
        <v>0</v>
      </c>
      <c r="F122" s="2">
        <v>0</v>
      </c>
      <c r="G122" s="2">
        <v>0</v>
      </c>
      <c r="H122" s="2">
        <f t="shared" si="6"/>
        <v>0</v>
      </c>
      <c r="I122" s="2">
        <f t="shared" si="6"/>
        <v>0</v>
      </c>
      <c r="J122" s="2">
        <f t="shared" si="6"/>
        <v>0</v>
      </c>
      <c r="K122" s="2">
        <f t="shared" si="6"/>
        <v>0</v>
      </c>
      <c r="L122" s="2">
        <f t="shared" si="6"/>
        <v>0</v>
      </c>
      <c r="M122" s="2">
        <f t="shared" si="6"/>
        <v>0</v>
      </c>
      <c r="N122" s="2">
        <f t="shared" si="6"/>
        <v>0</v>
      </c>
    </row>
    <row r="123" spans="1:14" x14ac:dyDescent="0.25">
      <c r="A123" s="1">
        <f t="shared" si="4"/>
        <v>0</v>
      </c>
      <c r="B123" s="2">
        <f>IF(C123=0,0,A123&amp;" "&amp;COUNTIF($A$1:$A123,A123))</f>
        <v>0</v>
      </c>
      <c r="C123" s="1">
        <v>0</v>
      </c>
      <c r="D123" s="2">
        <v>0</v>
      </c>
      <c r="E123" s="2">
        <v>0</v>
      </c>
      <c r="F123" s="2">
        <v>0</v>
      </c>
      <c r="G123" s="2">
        <v>0</v>
      </c>
      <c r="H123" s="2">
        <f t="shared" si="6"/>
        <v>0</v>
      </c>
      <c r="I123" s="2">
        <f t="shared" si="6"/>
        <v>0</v>
      </c>
      <c r="J123" s="2">
        <f t="shared" si="6"/>
        <v>0</v>
      </c>
      <c r="K123" s="2">
        <f t="shared" si="6"/>
        <v>0</v>
      </c>
      <c r="L123" s="2">
        <f t="shared" si="6"/>
        <v>0</v>
      </c>
      <c r="M123" s="2">
        <f t="shared" si="6"/>
        <v>0</v>
      </c>
      <c r="N123" s="2">
        <f t="shared" si="6"/>
        <v>0</v>
      </c>
    </row>
    <row r="124" spans="1:14" x14ac:dyDescent="0.25">
      <c r="A124" s="1">
        <f t="shared" si="4"/>
        <v>0</v>
      </c>
      <c r="B124" s="2">
        <f>IF(C124=0,0,A124&amp;" "&amp;COUNTIF($A$1:$A124,A124))</f>
        <v>0</v>
      </c>
      <c r="C124" s="1">
        <v>0</v>
      </c>
      <c r="D124" s="2">
        <v>0</v>
      </c>
      <c r="E124" s="2">
        <v>0</v>
      </c>
      <c r="F124" s="2">
        <v>0</v>
      </c>
      <c r="G124" s="2">
        <v>0</v>
      </c>
      <c r="H124" s="2">
        <f t="shared" si="6"/>
        <v>0</v>
      </c>
      <c r="I124" s="2">
        <f t="shared" si="6"/>
        <v>0</v>
      </c>
      <c r="J124" s="2">
        <f t="shared" si="6"/>
        <v>0</v>
      </c>
      <c r="K124" s="2">
        <f t="shared" si="6"/>
        <v>0</v>
      </c>
      <c r="L124" s="2">
        <f t="shared" si="6"/>
        <v>0</v>
      </c>
      <c r="M124" s="2">
        <f t="shared" si="6"/>
        <v>0</v>
      </c>
      <c r="N124" s="2">
        <f t="shared" si="6"/>
        <v>0</v>
      </c>
    </row>
    <row r="125" spans="1:14" x14ac:dyDescent="0.25">
      <c r="A125" s="1">
        <f t="shared" si="4"/>
        <v>0</v>
      </c>
      <c r="B125" s="2">
        <f>IF(C125=0,0,A125&amp;" "&amp;COUNTIF($A$1:$A125,A125))</f>
        <v>0</v>
      </c>
      <c r="C125" s="1">
        <v>0</v>
      </c>
      <c r="D125" s="2">
        <v>0</v>
      </c>
      <c r="E125" s="2">
        <v>0</v>
      </c>
      <c r="F125" s="2">
        <v>0</v>
      </c>
      <c r="G125" s="2">
        <v>0</v>
      </c>
      <c r="H125" s="2">
        <f t="shared" si="6"/>
        <v>0</v>
      </c>
      <c r="I125" s="2">
        <f t="shared" si="6"/>
        <v>0</v>
      </c>
      <c r="J125" s="2">
        <f t="shared" si="6"/>
        <v>0</v>
      </c>
      <c r="K125" s="2">
        <f t="shared" si="6"/>
        <v>0</v>
      </c>
      <c r="L125" s="2">
        <f t="shared" si="6"/>
        <v>0</v>
      </c>
      <c r="M125" s="2">
        <f t="shared" si="6"/>
        <v>0</v>
      </c>
      <c r="N125" s="2">
        <f t="shared" si="6"/>
        <v>0</v>
      </c>
    </row>
    <row r="126" spans="1:14" x14ac:dyDescent="0.25">
      <c r="A126" s="1">
        <f t="shared" si="4"/>
        <v>0</v>
      </c>
      <c r="B126" s="2">
        <f>IF(C126=0,0,A126&amp;" "&amp;COUNTIF($A$1:$A126,A126))</f>
        <v>0</v>
      </c>
      <c r="C126" s="1">
        <v>0</v>
      </c>
      <c r="D126" s="2">
        <v>0</v>
      </c>
      <c r="E126" s="2">
        <v>0</v>
      </c>
      <c r="F126" s="2">
        <v>0</v>
      </c>
      <c r="G126" s="2">
        <v>0</v>
      </c>
      <c r="H126" s="2">
        <f t="shared" si="6"/>
        <v>0</v>
      </c>
      <c r="I126" s="2">
        <f t="shared" si="6"/>
        <v>0</v>
      </c>
      <c r="J126" s="2">
        <f t="shared" si="6"/>
        <v>0</v>
      </c>
      <c r="K126" s="2">
        <f t="shared" si="6"/>
        <v>0</v>
      </c>
      <c r="L126" s="2">
        <f t="shared" si="6"/>
        <v>0</v>
      </c>
      <c r="M126" s="2">
        <f t="shared" si="6"/>
        <v>0</v>
      </c>
      <c r="N126" s="2">
        <f t="shared" si="6"/>
        <v>0</v>
      </c>
    </row>
    <row r="127" spans="1:14" x14ac:dyDescent="0.25">
      <c r="A127" s="1">
        <f t="shared" si="4"/>
        <v>0</v>
      </c>
      <c r="B127" s="2">
        <f>IF(C127=0,0,A127&amp;" "&amp;COUNTIF($A$1:$A127,A127))</f>
        <v>0</v>
      </c>
      <c r="C127" s="1">
        <v>0</v>
      </c>
      <c r="D127" s="2">
        <v>0</v>
      </c>
      <c r="E127" s="2">
        <v>0</v>
      </c>
      <c r="F127" s="2">
        <v>0</v>
      </c>
      <c r="G127" s="2">
        <v>0</v>
      </c>
      <c r="H127" s="2">
        <f t="shared" si="6"/>
        <v>0</v>
      </c>
      <c r="I127" s="2">
        <f t="shared" si="6"/>
        <v>0</v>
      </c>
      <c r="J127" s="2">
        <f t="shared" si="6"/>
        <v>0</v>
      </c>
      <c r="K127" s="2">
        <f t="shared" si="6"/>
        <v>0</v>
      </c>
      <c r="L127" s="2">
        <f t="shared" si="6"/>
        <v>0</v>
      </c>
      <c r="M127" s="2">
        <f t="shared" si="6"/>
        <v>0</v>
      </c>
      <c r="N127" s="2">
        <f t="shared" si="6"/>
        <v>0</v>
      </c>
    </row>
    <row r="128" spans="1:14" x14ac:dyDescent="0.25">
      <c r="A128" s="1">
        <f t="shared" si="4"/>
        <v>0</v>
      </c>
      <c r="B128" s="2">
        <f>IF(C128=0,0,A128&amp;" "&amp;COUNTIF($A$1:$A128,A128))</f>
        <v>0</v>
      </c>
      <c r="C128" s="1">
        <v>0</v>
      </c>
      <c r="D128" s="2">
        <v>0</v>
      </c>
      <c r="E128" s="2">
        <v>0</v>
      </c>
      <c r="F128" s="2">
        <v>0</v>
      </c>
      <c r="G128" s="2">
        <v>0</v>
      </c>
      <c r="H128" s="2">
        <f t="shared" si="6"/>
        <v>0</v>
      </c>
      <c r="I128" s="2">
        <f t="shared" si="6"/>
        <v>0</v>
      </c>
      <c r="J128" s="2">
        <f t="shared" si="6"/>
        <v>0</v>
      </c>
      <c r="K128" s="2">
        <f t="shared" si="6"/>
        <v>0</v>
      </c>
      <c r="L128" s="2">
        <f t="shared" si="6"/>
        <v>0</v>
      </c>
      <c r="M128" s="2">
        <f t="shared" si="6"/>
        <v>0</v>
      </c>
      <c r="N128" s="2">
        <f t="shared" si="6"/>
        <v>0</v>
      </c>
    </row>
    <row r="129" spans="1:14" x14ac:dyDescent="0.25">
      <c r="A129" s="1">
        <f t="shared" si="4"/>
        <v>0</v>
      </c>
      <c r="B129" s="2">
        <f>IF(C129=0,0,A129&amp;" "&amp;COUNTIF($A$1:$A129,A129))</f>
        <v>0</v>
      </c>
      <c r="C129" s="1">
        <v>0</v>
      </c>
      <c r="D129" s="2">
        <v>0</v>
      </c>
      <c r="E129" s="2">
        <v>0</v>
      </c>
      <c r="F129" s="2">
        <v>0</v>
      </c>
      <c r="G129" s="2">
        <v>0</v>
      </c>
      <c r="H129" s="2">
        <f t="shared" si="6"/>
        <v>0</v>
      </c>
      <c r="I129" s="2">
        <f t="shared" si="6"/>
        <v>0</v>
      </c>
      <c r="J129" s="2">
        <f t="shared" si="6"/>
        <v>0</v>
      </c>
      <c r="K129" s="2">
        <f t="shared" si="6"/>
        <v>0</v>
      </c>
      <c r="L129" s="2">
        <f t="shared" si="6"/>
        <v>0</v>
      </c>
      <c r="M129" s="2">
        <f t="shared" si="6"/>
        <v>0</v>
      </c>
      <c r="N129" s="2">
        <f t="shared" si="6"/>
        <v>0</v>
      </c>
    </row>
    <row r="130" spans="1:14" x14ac:dyDescent="0.25">
      <c r="A130" s="1">
        <f t="shared" si="4"/>
        <v>0</v>
      </c>
      <c r="B130" s="2">
        <f>IF(C130=0,0,A130&amp;" "&amp;COUNTIF($A$1:$A130,A130))</f>
        <v>0</v>
      </c>
      <c r="C130" s="1">
        <v>0</v>
      </c>
      <c r="D130" s="2">
        <v>0</v>
      </c>
      <c r="E130" s="2">
        <v>0</v>
      </c>
      <c r="F130" s="2">
        <v>0</v>
      </c>
      <c r="G130" s="2">
        <v>0</v>
      </c>
      <c r="H130" s="2">
        <f t="shared" si="6"/>
        <v>0</v>
      </c>
      <c r="I130" s="2">
        <f t="shared" si="6"/>
        <v>0</v>
      </c>
      <c r="J130" s="2">
        <f t="shared" si="6"/>
        <v>0</v>
      </c>
      <c r="K130" s="2">
        <f t="shared" si="6"/>
        <v>0</v>
      </c>
      <c r="L130" s="2">
        <f t="shared" si="6"/>
        <v>0</v>
      </c>
      <c r="M130" s="2">
        <f t="shared" si="6"/>
        <v>0</v>
      </c>
      <c r="N130" s="2">
        <f t="shared" si="6"/>
        <v>0</v>
      </c>
    </row>
    <row r="131" spans="1:14" x14ac:dyDescent="0.25">
      <c r="A131" s="1">
        <f t="shared" ref="A131:A194" si="7">IF(C131=1,D131,0)</f>
        <v>0</v>
      </c>
      <c r="B131" s="2">
        <f>IF(C131=0,0,A131&amp;" "&amp;COUNTIF($A$1:$A131,A131))</f>
        <v>0</v>
      </c>
      <c r="C131" s="1">
        <v>0</v>
      </c>
      <c r="D131" s="2">
        <v>0</v>
      </c>
      <c r="E131" s="2">
        <v>0</v>
      </c>
      <c r="F131" s="2">
        <v>0</v>
      </c>
      <c r="G131" s="2">
        <v>0</v>
      </c>
      <c r="H131" s="2">
        <f t="shared" si="6"/>
        <v>0</v>
      </c>
      <c r="I131" s="2">
        <f t="shared" si="6"/>
        <v>0</v>
      </c>
      <c r="J131" s="2">
        <f t="shared" si="6"/>
        <v>0</v>
      </c>
      <c r="K131" s="2">
        <f t="shared" si="6"/>
        <v>0</v>
      </c>
      <c r="L131" s="2">
        <f t="shared" si="6"/>
        <v>0</v>
      </c>
      <c r="M131" s="2">
        <f t="shared" si="6"/>
        <v>0</v>
      </c>
      <c r="N131" s="2">
        <f t="shared" si="6"/>
        <v>0</v>
      </c>
    </row>
    <row r="132" spans="1:14" x14ac:dyDescent="0.25">
      <c r="A132" s="1">
        <f t="shared" si="7"/>
        <v>0</v>
      </c>
      <c r="B132" s="2">
        <f>IF(C132=0,0,A132&amp;" "&amp;COUNTIF($A$1:$A132,A132))</f>
        <v>0</v>
      </c>
      <c r="C132" s="1">
        <v>0</v>
      </c>
      <c r="D132" s="2">
        <v>0</v>
      </c>
      <c r="E132" s="2">
        <v>0</v>
      </c>
      <c r="F132" s="2">
        <v>0</v>
      </c>
      <c r="G132" s="2">
        <v>0</v>
      </c>
      <c r="H132" s="2">
        <f t="shared" si="6"/>
        <v>0</v>
      </c>
      <c r="I132" s="2">
        <f t="shared" si="6"/>
        <v>0</v>
      </c>
      <c r="J132" s="2">
        <f t="shared" si="6"/>
        <v>0</v>
      </c>
      <c r="K132" s="2">
        <f t="shared" si="6"/>
        <v>0</v>
      </c>
      <c r="L132" s="2">
        <f t="shared" si="6"/>
        <v>0</v>
      </c>
      <c r="M132" s="2">
        <f t="shared" si="6"/>
        <v>0</v>
      </c>
      <c r="N132" s="2">
        <f t="shared" si="6"/>
        <v>0</v>
      </c>
    </row>
    <row r="133" spans="1:14" x14ac:dyDescent="0.25">
      <c r="A133" s="1">
        <f t="shared" si="7"/>
        <v>0</v>
      </c>
      <c r="B133" s="2">
        <f>IF(C133=0,0,A133&amp;" "&amp;COUNTIF($A$1:$A133,A133))</f>
        <v>0</v>
      </c>
      <c r="C133" s="1">
        <v>0</v>
      </c>
      <c r="D133" s="2">
        <v>0</v>
      </c>
      <c r="E133" s="2">
        <v>0</v>
      </c>
      <c r="F133" s="2">
        <v>0</v>
      </c>
      <c r="G133" s="2">
        <v>0</v>
      </c>
      <c r="H133" s="2">
        <f t="shared" si="6"/>
        <v>0</v>
      </c>
      <c r="I133" s="2">
        <f t="shared" si="6"/>
        <v>0</v>
      </c>
      <c r="J133" s="2">
        <f t="shared" si="6"/>
        <v>0</v>
      </c>
      <c r="K133" s="2">
        <f t="shared" si="6"/>
        <v>0</v>
      </c>
      <c r="L133" s="2">
        <f t="shared" si="6"/>
        <v>0</v>
      </c>
      <c r="M133" s="2">
        <f t="shared" si="6"/>
        <v>0</v>
      </c>
      <c r="N133" s="2">
        <f t="shared" si="6"/>
        <v>0</v>
      </c>
    </row>
    <row r="134" spans="1:14" x14ac:dyDescent="0.25">
      <c r="A134" s="1">
        <f t="shared" si="7"/>
        <v>0</v>
      </c>
      <c r="B134" s="2">
        <f>IF(C134=0,0,A134&amp;" "&amp;COUNTIF($A$1:$A134,A134))</f>
        <v>0</v>
      </c>
      <c r="C134" s="1">
        <v>0</v>
      </c>
      <c r="D134" s="2">
        <v>0</v>
      </c>
      <c r="E134" s="2">
        <v>0</v>
      </c>
      <c r="F134" s="2">
        <v>0</v>
      </c>
      <c r="G134" s="2">
        <v>0</v>
      </c>
      <c r="H134" s="2">
        <f t="shared" si="6"/>
        <v>0</v>
      </c>
      <c r="I134" s="2">
        <f t="shared" si="6"/>
        <v>0</v>
      </c>
      <c r="J134" s="2">
        <f t="shared" si="6"/>
        <v>0</v>
      </c>
      <c r="K134" s="2">
        <f t="shared" si="6"/>
        <v>0</v>
      </c>
      <c r="L134" s="2">
        <f t="shared" si="6"/>
        <v>0</v>
      </c>
      <c r="M134" s="2">
        <f t="shared" si="6"/>
        <v>0</v>
      </c>
      <c r="N134" s="2">
        <f t="shared" si="6"/>
        <v>0</v>
      </c>
    </row>
    <row r="135" spans="1:14" x14ac:dyDescent="0.25">
      <c r="A135" s="1">
        <f t="shared" si="7"/>
        <v>0</v>
      </c>
      <c r="B135" s="2">
        <f>IF(C135=0,0,A135&amp;" "&amp;COUNTIF($A$1:$A135,A135))</f>
        <v>0</v>
      </c>
      <c r="C135" s="1">
        <v>0</v>
      </c>
      <c r="D135" s="2">
        <v>0</v>
      </c>
      <c r="E135" s="2">
        <v>0</v>
      </c>
      <c r="F135" s="2">
        <v>0</v>
      </c>
      <c r="G135" s="2">
        <v>0</v>
      </c>
      <c r="H135" s="2">
        <f t="shared" si="6"/>
        <v>0</v>
      </c>
      <c r="I135" s="2">
        <f t="shared" si="6"/>
        <v>0</v>
      </c>
      <c r="J135" s="2">
        <f t="shared" si="6"/>
        <v>0</v>
      </c>
      <c r="K135" s="2">
        <f t="shared" si="6"/>
        <v>0</v>
      </c>
      <c r="L135" s="2">
        <f t="shared" si="6"/>
        <v>0</v>
      </c>
      <c r="M135" s="2">
        <f t="shared" si="6"/>
        <v>0</v>
      </c>
      <c r="N135" s="2">
        <f t="shared" si="6"/>
        <v>0</v>
      </c>
    </row>
    <row r="136" spans="1:14" x14ac:dyDescent="0.25">
      <c r="A136" s="1">
        <f t="shared" si="7"/>
        <v>0</v>
      </c>
      <c r="B136" s="2">
        <f>IF(C136=0,0,A136&amp;" "&amp;COUNTIF($A$1:$A136,A136))</f>
        <v>0</v>
      </c>
      <c r="C136" s="1">
        <v>0</v>
      </c>
      <c r="D136" s="2">
        <v>0</v>
      </c>
      <c r="E136" s="2">
        <v>0</v>
      </c>
      <c r="F136" s="2">
        <v>0</v>
      </c>
      <c r="G136" s="2">
        <v>0</v>
      </c>
      <c r="H136" s="2">
        <f t="shared" si="6"/>
        <v>0</v>
      </c>
      <c r="I136" s="2">
        <f t="shared" si="6"/>
        <v>0</v>
      </c>
      <c r="J136" s="2">
        <f t="shared" si="6"/>
        <v>0</v>
      </c>
      <c r="K136" s="2">
        <f t="shared" si="6"/>
        <v>0</v>
      </c>
      <c r="L136" s="2">
        <f t="shared" si="6"/>
        <v>0</v>
      </c>
      <c r="M136" s="2">
        <f t="shared" si="6"/>
        <v>0</v>
      </c>
      <c r="N136" s="2">
        <f t="shared" si="6"/>
        <v>0</v>
      </c>
    </row>
    <row r="137" spans="1:14" x14ac:dyDescent="0.25">
      <c r="A137" s="1">
        <f t="shared" si="7"/>
        <v>0</v>
      </c>
      <c r="B137" s="2">
        <f>IF(C137=0,0,A137&amp;" "&amp;COUNTIF($A$1:$A137,A137))</f>
        <v>0</v>
      </c>
      <c r="C137" s="1">
        <v>0</v>
      </c>
      <c r="D137" s="2">
        <v>0</v>
      </c>
      <c r="E137" s="2">
        <v>0</v>
      </c>
      <c r="F137" s="2">
        <v>0</v>
      </c>
      <c r="G137" s="2">
        <v>0</v>
      </c>
      <c r="H137" s="2">
        <f t="shared" si="6"/>
        <v>0</v>
      </c>
      <c r="I137" s="2">
        <f t="shared" si="6"/>
        <v>0</v>
      </c>
      <c r="J137" s="2">
        <f t="shared" si="6"/>
        <v>0</v>
      </c>
      <c r="K137" s="2">
        <f t="shared" si="6"/>
        <v>0</v>
      </c>
      <c r="L137" s="2">
        <f t="shared" si="6"/>
        <v>0</v>
      </c>
      <c r="M137" s="2">
        <f t="shared" si="6"/>
        <v>0</v>
      </c>
      <c r="N137" s="2">
        <f t="shared" si="6"/>
        <v>0</v>
      </c>
    </row>
    <row r="138" spans="1:14" x14ac:dyDescent="0.25">
      <c r="A138" s="1">
        <f t="shared" si="7"/>
        <v>0</v>
      </c>
      <c r="B138" s="2">
        <f>IF(C138=0,0,A138&amp;" "&amp;COUNTIF($A$1:$A138,A138))</f>
        <v>0</v>
      </c>
      <c r="C138" s="1">
        <v>0</v>
      </c>
      <c r="D138" s="2">
        <v>0</v>
      </c>
      <c r="E138" s="2">
        <v>0</v>
      </c>
      <c r="F138" s="2">
        <v>0</v>
      </c>
      <c r="G138" s="2">
        <v>0</v>
      </c>
      <c r="H138" s="2">
        <f t="shared" si="6"/>
        <v>0</v>
      </c>
      <c r="I138" s="2">
        <f t="shared" si="6"/>
        <v>0</v>
      </c>
      <c r="J138" s="2">
        <f t="shared" si="6"/>
        <v>0</v>
      </c>
      <c r="K138" s="2">
        <f t="shared" si="6"/>
        <v>0</v>
      </c>
      <c r="L138" s="2">
        <f t="shared" si="6"/>
        <v>0</v>
      </c>
      <c r="M138" s="2">
        <f t="shared" si="6"/>
        <v>0</v>
      </c>
      <c r="N138" s="2">
        <f t="shared" si="6"/>
        <v>0</v>
      </c>
    </row>
    <row r="139" spans="1:14" x14ac:dyDescent="0.25">
      <c r="A139" s="1">
        <f t="shared" si="7"/>
        <v>0</v>
      </c>
      <c r="B139" s="2">
        <f>IF(C139=0,0,A139&amp;" "&amp;COUNTIF($A$1:$A139,A139))</f>
        <v>0</v>
      </c>
      <c r="C139" s="1">
        <v>0</v>
      </c>
      <c r="D139" s="2">
        <v>0</v>
      </c>
      <c r="E139" s="2">
        <v>0</v>
      </c>
      <c r="F139" s="2">
        <v>0</v>
      </c>
      <c r="G139" s="2">
        <v>0</v>
      </c>
      <c r="H139" s="2">
        <f t="shared" si="6"/>
        <v>0</v>
      </c>
      <c r="I139" s="2">
        <f t="shared" si="6"/>
        <v>0</v>
      </c>
      <c r="J139" s="2">
        <f t="shared" si="6"/>
        <v>0</v>
      </c>
      <c r="K139" s="2">
        <f t="shared" si="6"/>
        <v>0</v>
      </c>
      <c r="L139" s="2">
        <f t="shared" si="6"/>
        <v>0</v>
      </c>
      <c r="M139" s="2">
        <f t="shared" si="6"/>
        <v>0</v>
      </c>
      <c r="N139" s="2">
        <f t="shared" si="6"/>
        <v>0</v>
      </c>
    </row>
    <row r="140" spans="1:14" x14ac:dyDescent="0.25">
      <c r="A140" s="1">
        <f t="shared" si="7"/>
        <v>0</v>
      </c>
      <c r="B140" s="2">
        <f>IF(C140=0,0,A140&amp;" "&amp;COUNTIF($A$1:$A140,A140))</f>
        <v>0</v>
      </c>
      <c r="C140" s="1">
        <v>0</v>
      </c>
      <c r="D140" s="2">
        <v>0</v>
      </c>
      <c r="E140" s="2">
        <v>0</v>
      </c>
      <c r="F140" s="2">
        <v>0</v>
      </c>
      <c r="G140" s="2">
        <v>0</v>
      </c>
      <c r="H140" s="2">
        <f t="shared" si="6"/>
        <v>0</v>
      </c>
      <c r="I140" s="2">
        <f t="shared" si="6"/>
        <v>0</v>
      </c>
      <c r="J140" s="2">
        <f t="shared" si="6"/>
        <v>0</v>
      </c>
      <c r="K140" s="2">
        <f t="shared" si="6"/>
        <v>0</v>
      </c>
      <c r="L140" s="2">
        <f t="shared" si="6"/>
        <v>0</v>
      </c>
      <c r="M140" s="2">
        <f t="shared" si="6"/>
        <v>0</v>
      </c>
      <c r="N140" s="2">
        <f t="shared" si="6"/>
        <v>0</v>
      </c>
    </row>
    <row r="141" spans="1:14" x14ac:dyDescent="0.25">
      <c r="A141" s="1">
        <f t="shared" si="7"/>
        <v>0</v>
      </c>
      <c r="B141" s="2">
        <f>IF(C141=0,0,A141&amp;" "&amp;COUNTIF($A$1:$A141,A141))</f>
        <v>0</v>
      </c>
      <c r="C141" s="1">
        <v>0</v>
      </c>
      <c r="D141" s="2">
        <v>0</v>
      </c>
      <c r="E141" s="2">
        <v>0</v>
      </c>
      <c r="F141" s="2">
        <v>0</v>
      </c>
      <c r="G141" s="2">
        <v>0</v>
      </c>
      <c r="H141" s="2">
        <f t="shared" si="6"/>
        <v>0</v>
      </c>
      <c r="I141" s="2">
        <f t="shared" si="6"/>
        <v>0</v>
      </c>
      <c r="J141" s="2">
        <f t="shared" si="6"/>
        <v>0</v>
      </c>
      <c r="K141" s="2">
        <f t="shared" si="6"/>
        <v>0</v>
      </c>
      <c r="L141" s="2">
        <f t="shared" si="6"/>
        <v>0</v>
      </c>
      <c r="M141" s="2">
        <f t="shared" si="6"/>
        <v>0</v>
      </c>
      <c r="N141" s="2">
        <f t="shared" si="6"/>
        <v>0</v>
      </c>
    </row>
    <row r="142" spans="1:14" x14ac:dyDescent="0.25">
      <c r="A142" s="1">
        <f t="shared" si="7"/>
        <v>0</v>
      </c>
      <c r="B142" s="2">
        <f>IF(C142=0,0,A142&amp;" "&amp;COUNTIF($A$1:$A142,A142))</f>
        <v>0</v>
      </c>
      <c r="C142" s="1">
        <v>0</v>
      </c>
      <c r="D142" s="2">
        <v>0</v>
      </c>
      <c r="E142" s="2">
        <v>0</v>
      </c>
      <c r="F142" s="2">
        <v>0</v>
      </c>
      <c r="G142" s="2">
        <v>0</v>
      </c>
      <c r="H142" s="2">
        <f t="shared" si="6"/>
        <v>0</v>
      </c>
      <c r="I142" s="2">
        <f t="shared" si="6"/>
        <v>0</v>
      </c>
      <c r="J142" s="2">
        <f t="shared" si="6"/>
        <v>0</v>
      </c>
      <c r="K142" s="2">
        <f t="shared" si="6"/>
        <v>0</v>
      </c>
      <c r="L142" s="2">
        <f t="shared" si="6"/>
        <v>0</v>
      </c>
      <c r="M142" s="2">
        <f t="shared" si="6"/>
        <v>0</v>
      </c>
      <c r="N142" s="2">
        <f t="shared" si="6"/>
        <v>0</v>
      </c>
    </row>
    <row r="143" spans="1:14" x14ac:dyDescent="0.25">
      <c r="A143" s="1">
        <f t="shared" si="7"/>
        <v>0</v>
      </c>
      <c r="B143" s="2">
        <f>IF(C143=0,0,A143&amp;" "&amp;COUNTIF($A$1:$A143,A143))</f>
        <v>0</v>
      </c>
      <c r="C143" s="1">
        <v>0</v>
      </c>
      <c r="D143" s="2">
        <v>0</v>
      </c>
      <c r="E143" s="2">
        <v>0</v>
      </c>
      <c r="F143" s="2">
        <v>0</v>
      </c>
      <c r="G143" s="2">
        <v>0</v>
      </c>
      <c r="H143" s="2">
        <f t="shared" si="6"/>
        <v>0</v>
      </c>
      <c r="I143" s="2">
        <f t="shared" si="6"/>
        <v>0</v>
      </c>
      <c r="J143" s="2">
        <f t="shared" si="6"/>
        <v>0</v>
      </c>
      <c r="K143" s="2">
        <f t="shared" si="6"/>
        <v>0</v>
      </c>
      <c r="L143" s="2">
        <f t="shared" si="6"/>
        <v>0</v>
      </c>
      <c r="M143" s="2">
        <f t="shared" si="6"/>
        <v>0</v>
      </c>
      <c r="N143" s="2">
        <f t="shared" si="6"/>
        <v>0</v>
      </c>
    </row>
    <row r="144" spans="1:14" x14ac:dyDescent="0.25">
      <c r="A144" s="1">
        <f t="shared" si="7"/>
        <v>0</v>
      </c>
      <c r="B144" s="2">
        <f>IF(C144=0,0,A144&amp;" "&amp;COUNTIF($A$1:$A144,A144))</f>
        <v>0</v>
      </c>
      <c r="C144" s="1">
        <v>0</v>
      </c>
      <c r="D144" s="2">
        <v>0</v>
      </c>
      <c r="E144" s="2">
        <v>0</v>
      </c>
      <c r="F144" s="2">
        <v>0</v>
      </c>
      <c r="G144" s="2">
        <v>0</v>
      </c>
      <c r="H144" s="2">
        <f t="shared" si="6"/>
        <v>0</v>
      </c>
      <c r="I144" s="2">
        <f t="shared" si="6"/>
        <v>0</v>
      </c>
      <c r="J144" s="2">
        <f t="shared" si="6"/>
        <v>0</v>
      </c>
      <c r="K144" s="2">
        <f t="shared" si="6"/>
        <v>0</v>
      </c>
      <c r="L144" s="2">
        <f t="shared" si="6"/>
        <v>0</v>
      </c>
      <c r="M144" s="2">
        <f t="shared" si="6"/>
        <v>0</v>
      </c>
      <c r="N144" s="2">
        <f t="shared" si="6"/>
        <v>0</v>
      </c>
    </row>
    <row r="145" spans="1:14" x14ac:dyDescent="0.25">
      <c r="A145" s="1">
        <f t="shared" si="7"/>
        <v>0</v>
      </c>
      <c r="B145" s="2">
        <f>IF(C145=0,0,A145&amp;" "&amp;COUNTIF($A$1:$A145,A145))</f>
        <v>0</v>
      </c>
      <c r="C145" s="1">
        <v>0</v>
      </c>
      <c r="D145" s="2">
        <v>0</v>
      </c>
      <c r="E145" s="2">
        <v>0</v>
      </c>
      <c r="F145" s="2">
        <v>0</v>
      </c>
      <c r="G145" s="2">
        <v>0</v>
      </c>
      <c r="H145" s="2">
        <f t="shared" si="6"/>
        <v>0</v>
      </c>
      <c r="I145" s="2">
        <f t="shared" si="6"/>
        <v>0</v>
      </c>
      <c r="J145" s="2">
        <f t="shared" si="6"/>
        <v>0</v>
      </c>
      <c r="K145" s="2">
        <f t="shared" si="6"/>
        <v>0</v>
      </c>
      <c r="L145" s="2">
        <f t="shared" si="6"/>
        <v>0</v>
      </c>
      <c r="M145" s="2">
        <f t="shared" si="6"/>
        <v>0</v>
      </c>
      <c r="N145" s="2">
        <f t="shared" si="6"/>
        <v>0</v>
      </c>
    </row>
    <row r="146" spans="1:14" x14ac:dyDescent="0.25">
      <c r="A146" s="1">
        <f t="shared" si="7"/>
        <v>0</v>
      </c>
      <c r="B146" s="2">
        <f>IF(C146=0,0,A146&amp;" "&amp;COUNTIF($A$1:$A146,A146))</f>
        <v>0</v>
      </c>
      <c r="C146" s="1">
        <v>0</v>
      </c>
      <c r="D146" s="2">
        <v>0</v>
      </c>
      <c r="E146" s="2">
        <v>0</v>
      </c>
      <c r="F146" s="2">
        <v>0</v>
      </c>
      <c r="G146" s="2">
        <v>0</v>
      </c>
      <c r="H146" s="2">
        <f t="shared" si="6"/>
        <v>0</v>
      </c>
      <c r="I146" s="2">
        <f t="shared" si="6"/>
        <v>0</v>
      </c>
      <c r="J146" s="2">
        <f t="shared" si="6"/>
        <v>0</v>
      </c>
      <c r="K146" s="2">
        <f t="shared" si="6"/>
        <v>0</v>
      </c>
      <c r="L146" s="2">
        <f t="shared" si="6"/>
        <v>0</v>
      </c>
      <c r="M146" s="2">
        <f t="shared" si="6"/>
        <v>0</v>
      </c>
      <c r="N146" s="2">
        <f t="shared" si="6"/>
        <v>0</v>
      </c>
    </row>
    <row r="147" spans="1:14" x14ac:dyDescent="0.25">
      <c r="A147" s="1">
        <f t="shared" si="7"/>
        <v>0</v>
      </c>
      <c r="B147" s="2">
        <f>IF(C147=0,0,A147&amp;" "&amp;COUNTIF($A$1:$A147,A147))</f>
        <v>0</v>
      </c>
      <c r="C147" s="1">
        <v>0</v>
      </c>
      <c r="D147" s="2">
        <v>0</v>
      </c>
      <c r="E147" s="2">
        <v>0</v>
      </c>
      <c r="F147" s="2">
        <v>0</v>
      </c>
      <c r="G147" s="2">
        <v>0</v>
      </c>
      <c r="H147" s="2">
        <f t="shared" si="6"/>
        <v>0</v>
      </c>
      <c r="I147" s="2">
        <f t="shared" si="6"/>
        <v>0</v>
      </c>
      <c r="J147" s="2">
        <f t="shared" si="6"/>
        <v>0</v>
      </c>
      <c r="K147" s="2">
        <f t="shared" ref="H147:N183" si="8">IF($D147=K$1,$C147*1,0)</f>
        <v>0</v>
      </c>
      <c r="L147" s="2">
        <f t="shared" si="8"/>
        <v>0</v>
      </c>
      <c r="M147" s="2">
        <f t="shared" si="8"/>
        <v>0</v>
      </c>
      <c r="N147" s="2">
        <f t="shared" si="8"/>
        <v>0</v>
      </c>
    </row>
    <row r="148" spans="1:14" x14ac:dyDescent="0.25">
      <c r="A148" s="1">
        <f t="shared" si="7"/>
        <v>0</v>
      </c>
      <c r="B148" s="2">
        <f>IF(C148=0,0,A148&amp;" "&amp;COUNTIF($A$1:$A148,A148))</f>
        <v>0</v>
      </c>
      <c r="C148" s="1">
        <v>0</v>
      </c>
      <c r="D148" s="2">
        <v>0</v>
      </c>
      <c r="E148" s="2">
        <v>0</v>
      </c>
      <c r="F148" s="2">
        <v>0</v>
      </c>
      <c r="G148" s="2">
        <v>0</v>
      </c>
      <c r="H148" s="2">
        <f t="shared" si="8"/>
        <v>0</v>
      </c>
      <c r="I148" s="2">
        <f t="shared" si="8"/>
        <v>0</v>
      </c>
      <c r="J148" s="2">
        <f t="shared" si="8"/>
        <v>0</v>
      </c>
      <c r="K148" s="2">
        <f t="shared" si="8"/>
        <v>0</v>
      </c>
      <c r="L148" s="2">
        <f t="shared" si="8"/>
        <v>0</v>
      </c>
      <c r="M148" s="2">
        <f t="shared" si="8"/>
        <v>0</v>
      </c>
      <c r="N148" s="2">
        <f t="shared" si="8"/>
        <v>0</v>
      </c>
    </row>
    <row r="149" spans="1:14" x14ac:dyDescent="0.25">
      <c r="A149" s="1">
        <f t="shared" si="7"/>
        <v>0</v>
      </c>
      <c r="B149" s="2">
        <f>IF(C149=0,0,A149&amp;" "&amp;COUNTIF($A$1:$A149,A149))</f>
        <v>0</v>
      </c>
      <c r="C149" s="1">
        <v>0</v>
      </c>
      <c r="D149" s="2">
        <v>0</v>
      </c>
      <c r="E149" s="2">
        <v>0</v>
      </c>
      <c r="F149" s="2">
        <v>0</v>
      </c>
      <c r="G149" s="2">
        <v>0</v>
      </c>
      <c r="H149" s="2">
        <f t="shared" si="8"/>
        <v>0</v>
      </c>
      <c r="I149" s="2">
        <f t="shared" si="8"/>
        <v>0</v>
      </c>
      <c r="J149" s="2">
        <f t="shared" si="8"/>
        <v>0</v>
      </c>
      <c r="K149" s="2">
        <f t="shared" si="8"/>
        <v>0</v>
      </c>
      <c r="L149" s="2">
        <f t="shared" si="8"/>
        <v>0</v>
      </c>
      <c r="M149" s="2">
        <f t="shared" si="8"/>
        <v>0</v>
      </c>
      <c r="N149" s="2">
        <f t="shared" si="8"/>
        <v>0</v>
      </c>
    </row>
    <row r="150" spans="1:14" x14ac:dyDescent="0.25">
      <c r="A150" s="1">
        <f t="shared" si="7"/>
        <v>0</v>
      </c>
      <c r="B150" s="2">
        <f>IF(C150=0,0,A150&amp;" "&amp;COUNTIF($A$1:$A150,A150))</f>
        <v>0</v>
      </c>
      <c r="C150" s="1">
        <v>0</v>
      </c>
      <c r="D150" s="2">
        <v>0</v>
      </c>
      <c r="E150" s="2">
        <v>0</v>
      </c>
      <c r="F150" s="2">
        <v>0</v>
      </c>
      <c r="G150" s="2">
        <v>0</v>
      </c>
      <c r="H150" s="2">
        <f t="shared" si="8"/>
        <v>0</v>
      </c>
      <c r="I150" s="2">
        <f t="shared" si="8"/>
        <v>0</v>
      </c>
      <c r="J150" s="2">
        <f t="shared" si="8"/>
        <v>0</v>
      </c>
      <c r="K150" s="2">
        <f t="shared" si="8"/>
        <v>0</v>
      </c>
      <c r="L150" s="2">
        <f t="shared" si="8"/>
        <v>0</v>
      </c>
      <c r="M150" s="2">
        <f t="shared" si="8"/>
        <v>0</v>
      </c>
      <c r="N150" s="2">
        <f t="shared" si="8"/>
        <v>0</v>
      </c>
    </row>
    <row r="151" spans="1:14" x14ac:dyDescent="0.25">
      <c r="A151" s="1">
        <f t="shared" si="7"/>
        <v>0</v>
      </c>
      <c r="B151" s="2">
        <f>IF(C151=0,0,A151&amp;" "&amp;COUNTIF($A$1:$A151,A151))</f>
        <v>0</v>
      </c>
      <c r="C151" s="1">
        <v>0</v>
      </c>
      <c r="D151" s="2">
        <v>0</v>
      </c>
      <c r="E151" s="2">
        <v>0</v>
      </c>
      <c r="F151" s="2">
        <v>0</v>
      </c>
      <c r="G151" s="2">
        <v>0</v>
      </c>
      <c r="H151" s="2">
        <f t="shared" si="8"/>
        <v>0</v>
      </c>
      <c r="I151" s="2">
        <f t="shared" si="8"/>
        <v>0</v>
      </c>
      <c r="J151" s="2">
        <f t="shared" si="8"/>
        <v>0</v>
      </c>
      <c r="K151" s="2">
        <f t="shared" si="8"/>
        <v>0</v>
      </c>
      <c r="L151" s="2">
        <f t="shared" si="8"/>
        <v>0</v>
      </c>
      <c r="M151" s="2">
        <f t="shared" si="8"/>
        <v>0</v>
      </c>
      <c r="N151" s="2">
        <f t="shared" si="8"/>
        <v>0</v>
      </c>
    </row>
    <row r="152" spans="1:14" x14ac:dyDescent="0.25">
      <c r="A152" s="1">
        <f t="shared" si="7"/>
        <v>0</v>
      </c>
      <c r="B152" s="2">
        <f>IF(C152=0,0,A152&amp;" "&amp;COUNTIF($A$1:$A152,A152))</f>
        <v>0</v>
      </c>
      <c r="C152" s="1">
        <v>0</v>
      </c>
      <c r="D152" s="2">
        <v>0</v>
      </c>
      <c r="E152" s="2">
        <v>0</v>
      </c>
      <c r="F152" s="2">
        <v>0</v>
      </c>
      <c r="G152" s="2">
        <v>0</v>
      </c>
      <c r="H152" s="2">
        <f t="shared" si="8"/>
        <v>0</v>
      </c>
      <c r="I152" s="2">
        <f t="shared" si="8"/>
        <v>0</v>
      </c>
      <c r="J152" s="2">
        <f t="shared" si="8"/>
        <v>0</v>
      </c>
      <c r="K152" s="2">
        <f t="shared" si="8"/>
        <v>0</v>
      </c>
      <c r="L152" s="2">
        <f t="shared" si="8"/>
        <v>0</v>
      </c>
      <c r="M152" s="2">
        <f t="shared" si="8"/>
        <v>0</v>
      </c>
      <c r="N152" s="2">
        <f t="shared" si="8"/>
        <v>0</v>
      </c>
    </row>
    <row r="153" spans="1:14" x14ac:dyDescent="0.25">
      <c r="A153" s="1">
        <f t="shared" si="7"/>
        <v>0</v>
      </c>
      <c r="B153" s="2">
        <f>IF(C153=0,0,A153&amp;" "&amp;COUNTIF($A$1:$A153,A153))</f>
        <v>0</v>
      </c>
      <c r="C153" s="1">
        <v>0</v>
      </c>
      <c r="D153" s="2">
        <v>0</v>
      </c>
      <c r="E153" s="2">
        <v>0</v>
      </c>
      <c r="F153" s="2">
        <v>0</v>
      </c>
      <c r="G153" s="2">
        <v>0</v>
      </c>
      <c r="H153" s="2">
        <f t="shared" si="8"/>
        <v>0</v>
      </c>
      <c r="I153" s="2">
        <f t="shared" si="8"/>
        <v>0</v>
      </c>
      <c r="J153" s="2">
        <f t="shared" si="8"/>
        <v>0</v>
      </c>
      <c r="K153" s="2">
        <f t="shared" si="8"/>
        <v>0</v>
      </c>
      <c r="L153" s="2">
        <f t="shared" si="8"/>
        <v>0</v>
      </c>
      <c r="M153" s="2">
        <f t="shared" si="8"/>
        <v>0</v>
      </c>
      <c r="N153" s="2">
        <f t="shared" si="8"/>
        <v>0</v>
      </c>
    </row>
    <row r="154" spans="1:14" x14ac:dyDescent="0.25">
      <c r="A154" s="1">
        <f t="shared" si="7"/>
        <v>0</v>
      </c>
      <c r="B154" s="2">
        <f>IF(C154=0,0,A154&amp;" "&amp;COUNTIF($A$1:$A154,A154))</f>
        <v>0</v>
      </c>
      <c r="C154" s="1">
        <v>0</v>
      </c>
      <c r="D154" s="2">
        <v>0</v>
      </c>
      <c r="E154" s="2">
        <v>0</v>
      </c>
      <c r="F154" s="2">
        <v>0</v>
      </c>
      <c r="G154" s="2">
        <v>0</v>
      </c>
      <c r="H154" s="2">
        <f t="shared" si="8"/>
        <v>0</v>
      </c>
      <c r="I154" s="2">
        <f t="shared" si="8"/>
        <v>0</v>
      </c>
      <c r="J154" s="2">
        <f t="shared" si="8"/>
        <v>0</v>
      </c>
      <c r="K154" s="2">
        <f t="shared" si="8"/>
        <v>0</v>
      </c>
      <c r="L154" s="2">
        <f t="shared" si="8"/>
        <v>0</v>
      </c>
      <c r="M154" s="2">
        <f t="shared" si="8"/>
        <v>0</v>
      </c>
      <c r="N154" s="2">
        <f t="shared" si="8"/>
        <v>0</v>
      </c>
    </row>
    <row r="155" spans="1:14" x14ac:dyDescent="0.25">
      <c r="A155" s="1">
        <f t="shared" si="7"/>
        <v>0</v>
      </c>
      <c r="B155" s="2">
        <f>IF(C155=0,0,A155&amp;" "&amp;COUNTIF($A$1:$A155,A155))</f>
        <v>0</v>
      </c>
      <c r="C155" s="1">
        <v>0</v>
      </c>
      <c r="D155" s="2">
        <v>0</v>
      </c>
      <c r="E155" s="2">
        <v>0</v>
      </c>
      <c r="F155" s="2">
        <v>0</v>
      </c>
      <c r="G155" s="2">
        <v>0</v>
      </c>
      <c r="H155" s="2">
        <f t="shared" si="8"/>
        <v>0</v>
      </c>
      <c r="I155" s="2">
        <f t="shared" si="8"/>
        <v>0</v>
      </c>
      <c r="J155" s="2">
        <f t="shared" si="8"/>
        <v>0</v>
      </c>
      <c r="K155" s="2">
        <f t="shared" si="8"/>
        <v>0</v>
      </c>
      <c r="L155" s="2">
        <f t="shared" si="8"/>
        <v>0</v>
      </c>
      <c r="M155" s="2">
        <f t="shared" si="8"/>
        <v>0</v>
      </c>
      <c r="N155" s="2">
        <f t="shared" si="8"/>
        <v>0</v>
      </c>
    </row>
    <row r="156" spans="1:14" x14ac:dyDescent="0.25">
      <c r="A156" s="1">
        <f t="shared" si="7"/>
        <v>0</v>
      </c>
      <c r="B156" s="2">
        <f>IF(C156=0,0,A156&amp;" "&amp;COUNTIF($A$1:$A156,A156))</f>
        <v>0</v>
      </c>
      <c r="C156" s="1">
        <v>0</v>
      </c>
      <c r="D156" s="2">
        <v>0</v>
      </c>
      <c r="E156" s="2">
        <v>0</v>
      </c>
      <c r="F156" s="2">
        <v>0</v>
      </c>
      <c r="G156" s="2">
        <v>0</v>
      </c>
      <c r="H156" s="2">
        <f t="shared" si="8"/>
        <v>0</v>
      </c>
      <c r="I156" s="2">
        <f t="shared" si="8"/>
        <v>0</v>
      </c>
      <c r="J156" s="2">
        <f t="shared" si="8"/>
        <v>0</v>
      </c>
      <c r="K156" s="2">
        <f t="shared" si="8"/>
        <v>0</v>
      </c>
      <c r="L156" s="2">
        <f t="shared" si="8"/>
        <v>0</v>
      </c>
      <c r="M156" s="2">
        <f t="shared" si="8"/>
        <v>0</v>
      </c>
      <c r="N156" s="2">
        <f t="shared" si="8"/>
        <v>0</v>
      </c>
    </row>
    <row r="157" spans="1:14" x14ac:dyDescent="0.25">
      <c r="A157" s="1">
        <f t="shared" si="7"/>
        <v>0</v>
      </c>
      <c r="B157" s="2">
        <f>IF(C157=0,0,A157&amp;" "&amp;COUNTIF($A$1:$A157,A157))</f>
        <v>0</v>
      </c>
      <c r="C157" s="1">
        <v>0</v>
      </c>
      <c r="D157" s="2">
        <v>0</v>
      </c>
      <c r="E157" s="2">
        <v>0</v>
      </c>
      <c r="F157" s="2">
        <v>0</v>
      </c>
      <c r="G157" s="2">
        <v>0</v>
      </c>
      <c r="H157" s="2">
        <f t="shared" si="8"/>
        <v>0</v>
      </c>
      <c r="I157" s="2">
        <f t="shared" si="8"/>
        <v>0</v>
      </c>
      <c r="J157" s="2">
        <f t="shared" si="8"/>
        <v>0</v>
      </c>
      <c r="K157" s="2">
        <f t="shared" si="8"/>
        <v>0</v>
      </c>
      <c r="L157" s="2">
        <f t="shared" si="8"/>
        <v>0</v>
      </c>
      <c r="M157" s="2">
        <f t="shared" si="8"/>
        <v>0</v>
      </c>
      <c r="N157" s="2">
        <f t="shared" si="8"/>
        <v>0</v>
      </c>
    </row>
    <row r="158" spans="1:14" x14ac:dyDescent="0.25">
      <c r="A158" s="1">
        <f t="shared" si="7"/>
        <v>0</v>
      </c>
      <c r="B158" s="2">
        <f>IF(C158=0,0,A158&amp;" "&amp;COUNTIF($A$1:$A158,A158))</f>
        <v>0</v>
      </c>
      <c r="C158" s="1">
        <v>0</v>
      </c>
      <c r="D158" s="2">
        <v>0</v>
      </c>
      <c r="E158" s="2">
        <v>0</v>
      </c>
      <c r="F158" s="2">
        <v>0</v>
      </c>
      <c r="G158" s="2">
        <v>0</v>
      </c>
      <c r="H158" s="2">
        <f t="shared" si="8"/>
        <v>0</v>
      </c>
      <c r="I158" s="2">
        <f t="shared" si="8"/>
        <v>0</v>
      </c>
      <c r="J158" s="2">
        <f t="shared" si="8"/>
        <v>0</v>
      </c>
      <c r="K158" s="2">
        <f t="shared" si="8"/>
        <v>0</v>
      </c>
      <c r="L158" s="2">
        <f t="shared" si="8"/>
        <v>0</v>
      </c>
      <c r="M158" s="2">
        <f t="shared" si="8"/>
        <v>0</v>
      </c>
      <c r="N158" s="2">
        <f t="shared" si="8"/>
        <v>0</v>
      </c>
    </row>
    <row r="159" spans="1:14" x14ac:dyDescent="0.25">
      <c r="A159" s="1">
        <f t="shared" si="7"/>
        <v>0</v>
      </c>
      <c r="B159" s="2">
        <f>IF(C159=0,0,A159&amp;" "&amp;COUNTIF($A$1:$A159,A159))</f>
        <v>0</v>
      </c>
      <c r="C159" s="1">
        <v>0</v>
      </c>
      <c r="D159" s="2">
        <v>0</v>
      </c>
      <c r="E159" s="2">
        <v>0</v>
      </c>
      <c r="F159" s="2">
        <v>0</v>
      </c>
      <c r="G159" s="2">
        <v>0</v>
      </c>
      <c r="H159" s="2">
        <f t="shared" si="8"/>
        <v>0</v>
      </c>
      <c r="I159" s="2">
        <f t="shared" si="8"/>
        <v>0</v>
      </c>
      <c r="J159" s="2">
        <f t="shared" si="8"/>
        <v>0</v>
      </c>
      <c r="K159" s="2">
        <f t="shared" si="8"/>
        <v>0</v>
      </c>
      <c r="L159" s="2">
        <f t="shared" si="8"/>
        <v>0</v>
      </c>
      <c r="M159" s="2">
        <f t="shared" si="8"/>
        <v>0</v>
      </c>
      <c r="N159" s="2">
        <f t="shared" si="8"/>
        <v>0</v>
      </c>
    </row>
    <row r="160" spans="1:14" x14ac:dyDescent="0.25">
      <c r="A160" s="1">
        <f t="shared" si="7"/>
        <v>0</v>
      </c>
      <c r="B160" s="2">
        <f>IF(C160=0,0,A160&amp;" "&amp;COUNTIF($A$1:$A160,A160))</f>
        <v>0</v>
      </c>
      <c r="C160" s="1">
        <v>0</v>
      </c>
      <c r="D160" s="2">
        <v>0</v>
      </c>
      <c r="E160" s="2">
        <v>0</v>
      </c>
      <c r="F160" s="2">
        <v>0</v>
      </c>
      <c r="G160" s="2">
        <v>0</v>
      </c>
      <c r="H160" s="2">
        <f t="shared" si="8"/>
        <v>0</v>
      </c>
      <c r="I160" s="2">
        <f t="shared" si="8"/>
        <v>0</v>
      </c>
      <c r="J160" s="2">
        <f t="shared" si="8"/>
        <v>0</v>
      </c>
      <c r="K160" s="2">
        <f t="shared" si="8"/>
        <v>0</v>
      </c>
      <c r="L160" s="2">
        <f t="shared" si="8"/>
        <v>0</v>
      </c>
      <c r="M160" s="2">
        <f t="shared" si="8"/>
        <v>0</v>
      </c>
      <c r="N160" s="2">
        <f t="shared" si="8"/>
        <v>0</v>
      </c>
    </row>
    <row r="161" spans="1:14" x14ac:dyDescent="0.25">
      <c r="A161" s="1">
        <f t="shared" si="7"/>
        <v>0</v>
      </c>
      <c r="B161" s="2">
        <f>IF(C161=0,0,A161&amp;" "&amp;COUNTIF($A$1:$A161,A161))</f>
        <v>0</v>
      </c>
      <c r="C161" s="1">
        <v>0</v>
      </c>
      <c r="D161" s="2">
        <v>0</v>
      </c>
      <c r="E161" s="2">
        <v>0</v>
      </c>
      <c r="F161" s="2">
        <v>0</v>
      </c>
      <c r="G161" s="2">
        <v>0</v>
      </c>
      <c r="H161" s="2">
        <f t="shared" si="8"/>
        <v>0</v>
      </c>
      <c r="I161" s="2">
        <f t="shared" si="8"/>
        <v>0</v>
      </c>
      <c r="J161" s="2">
        <f t="shared" si="8"/>
        <v>0</v>
      </c>
      <c r="K161" s="2">
        <f t="shared" si="8"/>
        <v>0</v>
      </c>
      <c r="L161" s="2">
        <f t="shared" si="8"/>
        <v>0</v>
      </c>
      <c r="M161" s="2">
        <f t="shared" si="8"/>
        <v>0</v>
      </c>
      <c r="N161" s="2">
        <f t="shared" si="8"/>
        <v>0</v>
      </c>
    </row>
    <row r="162" spans="1:14" x14ac:dyDescent="0.25">
      <c r="A162" s="1">
        <f t="shared" si="7"/>
        <v>0</v>
      </c>
      <c r="B162" s="2">
        <f>IF(C162=0,0,A162&amp;" "&amp;COUNTIF($A$1:$A162,A162))</f>
        <v>0</v>
      </c>
      <c r="C162" s="1">
        <v>0</v>
      </c>
      <c r="D162" s="2">
        <v>0</v>
      </c>
      <c r="E162" s="2">
        <v>0</v>
      </c>
      <c r="F162" s="2">
        <v>0</v>
      </c>
      <c r="G162" s="2">
        <v>0</v>
      </c>
      <c r="H162" s="2">
        <f t="shared" si="8"/>
        <v>0</v>
      </c>
      <c r="I162" s="2">
        <f t="shared" si="8"/>
        <v>0</v>
      </c>
      <c r="J162" s="2">
        <f t="shared" si="8"/>
        <v>0</v>
      </c>
      <c r="K162" s="2">
        <f t="shared" si="8"/>
        <v>0</v>
      </c>
      <c r="L162" s="2">
        <f t="shared" si="8"/>
        <v>0</v>
      </c>
      <c r="M162" s="2">
        <f t="shared" si="8"/>
        <v>0</v>
      </c>
      <c r="N162" s="2">
        <f t="shared" si="8"/>
        <v>0</v>
      </c>
    </row>
    <row r="163" spans="1:14" x14ac:dyDescent="0.25">
      <c r="A163" s="1">
        <f t="shared" si="7"/>
        <v>0</v>
      </c>
      <c r="B163" s="2">
        <f>IF(C163=0,0,A163&amp;" "&amp;COUNTIF($A$1:$A163,A163))</f>
        <v>0</v>
      </c>
      <c r="C163" s="1">
        <v>0</v>
      </c>
      <c r="D163" s="2">
        <v>0</v>
      </c>
      <c r="E163" s="2">
        <v>0</v>
      </c>
      <c r="F163" s="2">
        <v>0</v>
      </c>
      <c r="G163" s="2">
        <v>0</v>
      </c>
      <c r="H163" s="2">
        <f t="shared" si="8"/>
        <v>0</v>
      </c>
      <c r="I163" s="2">
        <f t="shared" si="8"/>
        <v>0</v>
      </c>
      <c r="J163" s="2">
        <f t="shared" si="8"/>
        <v>0</v>
      </c>
      <c r="K163" s="2">
        <f t="shared" si="8"/>
        <v>0</v>
      </c>
      <c r="L163" s="2">
        <f t="shared" si="8"/>
        <v>0</v>
      </c>
      <c r="M163" s="2">
        <f t="shared" si="8"/>
        <v>0</v>
      </c>
      <c r="N163" s="2">
        <f t="shared" si="8"/>
        <v>0</v>
      </c>
    </row>
    <row r="164" spans="1:14" x14ac:dyDescent="0.25">
      <c r="A164" s="1">
        <f t="shared" si="7"/>
        <v>0</v>
      </c>
      <c r="B164" s="2">
        <f>IF(C164=0,0,A164&amp;" "&amp;COUNTIF($A$1:$A164,A164))</f>
        <v>0</v>
      </c>
      <c r="C164" s="1">
        <v>0</v>
      </c>
      <c r="D164" s="2">
        <v>0</v>
      </c>
      <c r="E164" s="2">
        <v>0</v>
      </c>
      <c r="F164" s="2">
        <v>0</v>
      </c>
      <c r="G164" s="2">
        <v>0</v>
      </c>
      <c r="H164" s="2">
        <f t="shared" si="8"/>
        <v>0</v>
      </c>
      <c r="I164" s="2">
        <f t="shared" si="8"/>
        <v>0</v>
      </c>
      <c r="J164" s="2">
        <f t="shared" si="8"/>
        <v>0</v>
      </c>
      <c r="K164" s="2">
        <f t="shared" si="8"/>
        <v>0</v>
      </c>
      <c r="L164" s="2">
        <f t="shared" si="8"/>
        <v>0</v>
      </c>
      <c r="M164" s="2">
        <f t="shared" si="8"/>
        <v>0</v>
      </c>
      <c r="N164" s="2">
        <f t="shared" si="8"/>
        <v>0</v>
      </c>
    </row>
    <row r="165" spans="1:14" x14ac:dyDescent="0.25">
      <c r="A165" s="1">
        <f t="shared" si="7"/>
        <v>0</v>
      </c>
      <c r="B165" s="2">
        <f>IF(C165=0,0,A165&amp;" "&amp;COUNTIF($A$1:$A165,A165))</f>
        <v>0</v>
      </c>
      <c r="C165" s="1">
        <v>0</v>
      </c>
      <c r="D165" s="2">
        <v>0</v>
      </c>
      <c r="E165" s="2">
        <v>0</v>
      </c>
      <c r="F165" s="2">
        <v>0</v>
      </c>
      <c r="G165" s="2">
        <v>0</v>
      </c>
      <c r="H165" s="2">
        <f t="shared" si="8"/>
        <v>0</v>
      </c>
      <c r="I165" s="2">
        <f t="shared" si="8"/>
        <v>0</v>
      </c>
      <c r="J165" s="2">
        <f t="shared" si="8"/>
        <v>0</v>
      </c>
      <c r="K165" s="2">
        <f t="shared" si="8"/>
        <v>0</v>
      </c>
      <c r="L165" s="2">
        <f t="shared" si="8"/>
        <v>0</v>
      </c>
      <c r="M165" s="2">
        <f t="shared" si="8"/>
        <v>0</v>
      </c>
      <c r="N165" s="2">
        <f t="shared" si="8"/>
        <v>0</v>
      </c>
    </row>
    <row r="166" spans="1:14" x14ac:dyDescent="0.25">
      <c r="A166" s="1">
        <f t="shared" si="7"/>
        <v>0</v>
      </c>
      <c r="B166" s="2">
        <f>IF(C166=0,0,A166&amp;" "&amp;COUNTIF($A$1:$A166,A166))</f>
        <v>0</v>
      </c>
      <c r="C166" s="1">
        <v>0</v>
      </c>
      <c r="D166" s="2">
        <v>0</v>
      </c>
      <c r="E166" s="2">
        <v>0</v>
      </c>
      <c r="F166" s="2">
        <v>0</v>
      </c>
      <c r="G166" s="2">
        <v>0</v>
      </c>
      <c r="H166" s="2">
        <f t="shared" si="8"/>
        <v>0</v>
      </c>
      <c r="I166" s="2">
        <f t="shared" si="8"/>
        <v>0</v>
      </c>
      <c r="J166" s="2">
        <f t="shared" si="8"/>
        <v>0</v>
      </c>
      <c r="K166" s="2">
        <f t="shared" si="8"/>
        <v>0</v>
      </c>
      <c r="L166" s="2">
        <f t="shared" si="8"/>
        <v>0</v>
      </c>
      <c r="M166" s="2">
        <f t="shared" si="8"/>
        <v>0</v>
      </c>
      <c r="N166" s="2">
        <f t="shared" si="8"/>
        <v>0</v>
      </c>
    </row>
    <row r="167" spans="1:14" x14ac:dyDescent="0.25">
      <c r="A167" s="1">
        <f t="shared" si="7"/>
        <v>0</v>
      </c>
      <c r="B167" s="2">
        <f>IF(C167=0,0,A167&amp;" "&amp;COUNTIF($A$1:$A167,A167))</f>
        <v>0</v>
      </c>
      <c r="C167" s="1">
        <v>0</v>
      </c>
      <c r="D167" s="2">
        <v>0</v>
      </c>
      <c r="E167" s="2">
        <v>0</v>
      </c>
      <c r="F167" s="2">
        <v>0</v>
      </c>
      <c r="G167" s="2">
        <v>0</v>
      </c>
      <c r="H167" s="2">
        <f t="shared" si="8"/>
        <v>0</v>
      </c>
      <c r="I167" s="2">
        <f t="shared" si="8"/>
        <v>0</v>
      </c>
      <c r="J167" s="2">
        <f t="shared" si="8"/>
        <v>0</v>
      </c>
      <c r="K167" s="2">
        <f t="shared" si="8"/>
        <v>0</v>
      </c>
      <c r="L167" s="2">
        <f t="shared" si="8"/>
        <v>0</v>
      </c>
      <c r="M167" s="2">
        <f t="shared" si="8"/>
        <v>0</v>
      </c>
      <c r="N167" s="2">
        <f t="shared" si="8"/>
        <v>0</v>
      </c>
    </row>
    <row r="168" spans="1:14" x14ac:dyDescent="0.25">
      <c r="A168" s="1">
        <f t="shared" si="7"/>
        <v>0</v>
      </c>
      <c r="B168" s="2">
        <f>IF(C168=0,0,A168&amp;" "&amp;COUNTIF($A$1:$A168,A168))</f>
        <v>0</v>
      </c>
      <c r="C168" s="1">
        <v>0</v>
      </c>
      <c r="D168" s="2">
        <v>0</v>
      </c>
      <c r="E168" s="2">
        <v>0</v>
      </c>
      <c r="F168" s="2">
        <v>0</v>
      </c>
      <c r="G168" s="2">
        <v>0</v>
      </c>
      <c r="H168" s="2">
        <f t="shared" si="8"/>
        <v>0</v>
      </c>
      <c r="I168" s="2">
        <f t="shared" si="8"/>
        <v>0</v>
      </c>
      <c r="J168" s="2">
        <f t="shared" si="8"/>
        <v>0</v>
      </c>
      <c r="K168" s="2">
        <f t="shared" si="8"/>
        <v>0</v>
      </c>
      <c r="L168" s="2">
        <f t="shared" si="8"/>
        <v>0</v>
      </c>
      <c r="M168" s="2">
        <f t="shared" si="8"/>
        <v>0</v>
      </c>
      <c r="N168" s="2">
        <f t="shared" si="8"/>
        <v>0</v>
      </c>
    </row>
    <row r="169" spans="1:14" x14ac:dyDescent="0.25">
      <c r="A169" s="1">
        <f t="shared" si="7"/>
        <v>0</v>
      </c>
      <c r="B169" s="2">
        <f>IF(C169=0,0,A169&amp;" "&amp;COUNTIF($A$1:$A169,A169))</f>
        <v>0</v>
      </c>
      <c r="C169" s="1">
        <v>0</v>
      </c>
      <c r="D169" s="2">
        <v>0</v>
      </c>
      <c r="E169" s="2">
        <v>0</v>
      </c>
      <c r="F169" s="2">
        <v>0</v>
      </c>
      <c r="G169" s="2">
        <v>0</v>
      </c>
      <c r="H169" s="2">
        <f t="shared" si="8"/>
        <v>0</v>
      </c>
      <c r="I169" s="2">
        <f t="shared" si="8"/>
        <v>0</v>
      </c>
      <c r="J169" s="2">
        <f t="shared" si="8"/>
        <v>0</v>
      </c>
      <c r="K169" s="2">
        <f t="shared" si="8"/>
        <v>0</v>
      </c>
      <c r="L169" s="2">
        <f t="shared" si="8"/>
        <v>0</v>
      </c>
      <c r="M169" s="2">
        <f t="shared" si="8"/>
        <v>0</v>
      </c>
      <c r="N169" s="2">
        <f t="shared" si="8"/>
        <v>0</v>
      </c>
    </row>
    <row r="170" spans="1:14" x14ac:dyDescent="0.25">
      <c r="A170" s="1">
        <f t="shared" si="7"/>
        <v>0</v>
      </c>
      <c r="B170" s="2">
        <f>IF(C170=0,0,A170&amp;" "&amp;COUNTIF($A$1:$A170,A170))</f>
        <v>0</v>
      </c>
      <c r="C170" s="1">
        <v>0</v>
      </c>
      <c r="D170" s="2">
        <v>0</v>
      </c>
      <c r="E170" s="2">
        <v>0</v>
      </c>
      <c r="F170" s="2">
        <v>0</v>
      </c>
      <c r="G170" s="2">
        <v>0</v>
      </c>
      <c r="H170" s="2">
        <f t="shared" si="8"/>
        <v>0</v>
      </c>
      <c r="I170" s="2">
        <f t="shared" si="8"/>
        <v>0</v>
      </c>
      <c r="J170" s="2">
        <f t="shared" si="8"/>
        <v>0</v>
      </c>
      <c r="K170" s="2">
        <f t="shared" si="8"/>
        <v>0</v>
      </c>
      <c r="L170" s="2">
        <f t="shared" si="8"/>
        <v>0</v>
      </c>
      <c r="M170" s="2">
        <f t="shared" si="8"/>
        <v>0</v>
      </c>
      <c r="N170" s="2">
        <f t="shared" si="8"/>
        <v>0</v>
      </c>
    </row>
    <row r="171" spans="1:14" x14ac:dyDescent="0.25">
      <c r="A171" s="1">
        <f t="shared" si="7"/>
        <v>0</v>
      </c>
      <c r="B171" s="2">
        <f>IF(C171=0,0,A171&amp;" "&amp;COUNTIF($A$1:$A171,A171))</f>
        <v>0</v>
      </c>
      <c r="C171" s="1">
        <v>0</v>
      </c>
      <c r="D171" s="2">
        <v>0</v>
      </c>
      <c r="E171" s="2">
        <v>0</v>
      </c>
      <c r="F171" s="2">
        <v>0</v>
      </c>
      <c r="G171" s="2">
        <v>0</v>
      </c>
      <c r="H171" s="2">
        <f t="shared" si="8"/>
        <v>0</v>
      </c>
      <c r="I171" s="2">
        <f t="shared" si="8"/>
        <v>0</v>
      </c>
      <c r="J171" s="2">
        <f t="shared" si="8"/>
        <v>0</v>
      </c>
      <c r="K171" s="2">
        <f t="shared" si="8"/>
        <v>0</v>
      </c>
      <c r="L171" s="2">
        <f t="shared" si="8"/>
        <v>0</v>
      </c>
      <c r="M171" s="2">
        <f t="shared" si="8"/>
        <v>0</v>
      </c>
      <c r="N171" s="2">
        <f t="shared" si="8"/>
        <v>0</v>
      </c>
    </row>
    <row r="172" spans="1:14" x14ac:dyDescent="0.25">
      <c r="A172" s="1">
        <f t="shared" si="7"/>
        <v>0</v>
      </c>
      <c r="B172" s="2">
        <f>IF(C172=0,0,A172&amp;" "&amp;COUNTIF($A$1:$A172,A172))</f>
        <v>0</v>
      </c>
      <c r="C172" s="1">
        <v>0</v>
      </c>
      <c r="D172" s="2">
        <v>0</v>
      </c>
      <c r="E172" s="2">
        <v>0</v>
      </c>
      <c r="F172" s="2">
        <v>0</v>
      </c>
      <c r="G172" s="2">
        <v>0</v>
      </c>
      <c r="H172" s="2">
        <f t="shared" si="8"/>
        <v>0</v>
      </c>
      <c r="I172" s="2">
        <f t="shared" si="8"/>
        <v>0</v>
      </c>
      <c r="J172" s="2">
        <f t="shared" si="8"/>
        <v>0</v>
      </c>
      <c r="K172" s="2">
        <f t="shared" si="8"/>
        <v>0</v>
      </c>
      <c r="L172" s="2">
        <f t="shared" si="8"/>
        <v>0</v>
      </c>
      <c r="M172" s="2">
        <f t="shared" si="8"/>
        <v>0</v>
      </c>
      <c r="N172" s="2">
        <f t="shared" si="8"/>
        <v>0</v>
      </c>
    </row>
    <row r="173" spans="1:14" x14ac:dyDescent="0.25">
      <c r="A173" s="1">
        <f t="shared" si="7"/>
        <v>0</v>
      </c>
      <c r="B173" s="2">
        <f>IF(C173=0,0,A173&amp;" "&amp;COUNTIF($A$1:$A173,A173))</f>
        <v>0</v>
      </c>
      <c r="C173" s="1">
        <v>0</v>
      </c>
      <c r="D173" s="2">
        <v>0</v>
      </c>
      <c r="E173" s="2">
        <v>0</v>
      </c>
      <c r="F173" s="2">
        <v>0</v>
      </c>
      <c r="G173" s="2">
        <v>0</v>
      </c>
      <c r="H173" s="2">
        <f t="shared" si="8"/>
        <v>0</v>
      </c>
      <c r="I173" s="2">
        <f t="shared" si="8"/>
        <v>0</v>
      </c>
      <c r="J173" s="2">
        <f t="shared" si="8"/>
        <v>0</v>
      </c>
      <c r="K173" s="2">
        <f t="shared" si="8"/>
        <v>0</v>
      </c>
      <c r="L173" s="2">
        <f t="shared" si="8"/>
        <v>0</v>
      </c>
      <c r="M173" s="2">
        <f t="shared" si="8"/>
        <v>0</v>
      </c>
      <c r="N173" s="2">
        <f t="shared" si="8"/>
        <v>0</v>
      </c>
    </row>
    <row r="174" spans="1:14" x14ac:dyDescent="0.25">
      <c r="A174" s="1">
        <f t="shared" si="7"/>
        <v>0</v>
      </c>
      <c r="B174" s="2">
        <f>IF(C174=0,0,A174&amp;" "&amp;COUNTIF($A$1:$A174,A174))</f>
        <v>0</v>
      </c>
      <c r="C174" s="1">
        <v>0</v>
      </c>
      <c r="D174" s="2">
        <v>0</v>
      </c>
      <c r="E174" s="2">
        <v>0</v>
      </c>
      <c r="F174" s="2">
        <v>0</v>
      </c>
      <c r="G174" s="2">
        <v>0</v>
      </c>
      <c r="H174" s="2">
        <f t="shared" si="8"/>
        <v>0</v>
      </c>
      <c r="I174" s="2">
        <f t="shared" si="8"/>
        <v>0</v>
      </c>
      <c r="J174" s="2">
        <f t="shared" si="8"/>
        <v>0</v>
      </c>
      <c r="K174" s="2">
        <f t="shared" si="8"/>
        <v>0</v>
      </c>
      <c r="L174" s="2">
        <f t="shared" si="8"/>
        <v>0</v>
      </c>
      <c r="M174" s="2">
        <f t="shared" si="8"/>
        <v>0</v>
      </c>
      <c r="N174" s="2">
        <f t="shared" si="8"/>
        <v>0</v>
      </c>
    </row>
    <row r="175" spans="1:14" x14ac:dyDescent="0.25">
      <c r="A175" s="1">
        <f t="shared" si="7"/>
        <v>0</v>
      </c>
      <c r="B175" s="2">
        <f>IF(C175=0,0,A175&amp;" "&amp;COUNTIF($A$1:$A175,A175))</f>
        <v>0</v>
      </c>
      <c r="C175" s="1">
        <v>0</v>
      </c>
      <c r="D175" s="2">
        <v>0</v>
      </c>
      <c r="E175" s="2">
        <v>0</v>
      </c>
      <c r="F175" s="2">
        <v>0</v>
      </c>
      <c r="G175" s="2">
        <v>0</v>
      </c>
      <c r="H175" s="2">
        <f t="shared" si="8"/>
        <v>0</v>
      </c>
      <c r="I175" s="2">
        <f t="shared" si="8"/>
        <v>0</v>
      </c>
      <c r="J175" s="2">
        <f t="shared" si="8"/>
        <v>0</v>
      </c>
      <c r="K175" s="2">
        <f t="shared" si="8"/>
        <v>0</v>
      </c>
      <c r="L175" s="2">
        <f t="shared" si="8"/>
        <v>0</v>
      </c>
      <c r="M175" s="2">
        <f t="shared" si="8"/>
        <v>0</v>
      </c>
      <c r="N175" s="2">
        <f t="shared" si="8"/>
        <v>0</v>
      </c>
    </row>
    <row r="176" spans="1:14" x14ac:dyDescent="0.25">
      <c r="A176" s="1">
        <f t="shared" si="7"/>
        <v>0</v>
      </c>
      <c r="B176" s="2">
        <f>IF(C176=0,0,A176&amp;" "&amp;COUNTIF($A$1:$A176,A176))</f>
        <v>0</v>
      </c>
      <c r="C176" s="1">
        <v>0</v>
      </c>
      <c r="D176" s="2">
        <v>0</v>
      </c>
      <c r="E176" s="2">
        <v>0</v>
      </c>
      <c r="F176" s="2">
        <v>0</v>
      </c>
      <c r="G176" s="2">
        <v>0</v>
      </c>
      <c r="H176" s="2">
        <f t="shared" si="8"/>
        <v>0</v>
      </c>
      <c r="I176" s="2">
        <f t="shared" si="8"/>
        <v>0</v>
      </c>
      <c r="J176" s="2">
        <f t="shared" si="8"/>
        <v>0</v>
      </c>
      <c r="K176" s="2">
        <f t="shared" si="8"/>
        <v>0</v>
      </c>
      <c r="L176" s="2">
        <f t="shared" si="8"/>
        <v>0</v>
      </c>
      <c r="M176" s="2">
        <f t="shared" si="8"/>
        <v>0</v>
      </c>
      <c r="N176" s="2">
        <f t="shared" si="8"/>
        <v>0</v>
      </c>
    </row>
    <row r="177" spans="1:14" x14ac:dyDescent="0.25">
      <c r="A177" s="1">
        <f t="shared" si="7"/>
        <v>0</v>
      </c>
      <c r="B177" s="2">
        <f>IF(C177=0,0,A177&amp;" "&amp;COUNTIF($A$1:$A177,A177))</f>
        <v>0</v>
      </c>
      <c r="C177" s="1">
        <v>0</v>
      </c>
      <c r="D177" s="2">
        <v>0</v>
      </c>
      <c r="E177" s="2">
        <v>0</v>
      </c>
      <c r="F177" s="2">
        <v>0</v>
      </c>
      <c r="G177" s="2">
        <v>0</v>
      </c>
      <c r="H177" s="2">
        <f t="shared" si="8"/>
        <v>0</v>
      </c>
      <c r="I177" s="2">
        <f t="shared" si="8"/>
        <v>0</v>
      </c>
      <c r="J177" s="2">
        <f t="shared" si="8"/>
        <v>0</v>
      </c>
      <c r="K177" s="2">
        <f t="shared" si="8"/>
        <v>0</v>
      </c>
      <c r="L177" s="2">
        <f t="shared" si="8"/>
        <v>0</v>
      </c>
      <c r="M177" s="2">
        <f t="shared" si="8"/>
        <v>0</v>
      </c>
      <c r="N177" s="2">
        <f t="shared" si="8"/>
        <v>0</v>
      </c>
    </row>
    <row r="178" spans="1:14" x14ac:dyDescent="0.25">
      <c r="A178" s="1">
        <f t="shared" si="7"/>
        <v>0</v>
      </c>
      <c r="B178" s="2">
        <f>IF(C178=0,0,A178&amp;" "&amp;COUNTIF($A$1:$A178,A178))</f>
        <v>0</v>
      </c>
      <c r="C178" s="1">
        <v>0</v>
      </c>
      <c r="D178" s="2">
        <v>0</v>
      </c>
      <c r="E178" s="2">
        <v>0</v>
      </c>
      <c r="F178" s="2">
        <v>0</v>
      </c>
      <c r="G178" s="2">
        <v>0</v>
      </c>
      <c r="H178" s="2">
        <f t="shared" si="8"/>
        <v>0</v>
      </c>
      <c r="I178" s="2">
        <f t="shared" si="8"/>
        <v>0</v>
      </c>
      <c r="J178" s="2">
        <f t="shared" si="8"/>
        <v>0</v>
      </c>
      <c r="K178" s="2">
        <f t="shared" si="8"/>
        <v>0</v>
      </c>
      <c r="L178" s="2">
        <f t="shared" si="8"/>
        <v>0</v>
      </c>
      <c r="M178" s="2">
        <f t="shared" si="8"/>
        <v>0</v>
      </c>
      <c r="N178" s="2">
        <f t="shared" si="8"/>
        <v>0</v>
      </c>
    </row>
    <row r="179" spans="1:14" x14ac:dyDescent="0.25">
      <c r="A179" s="1">
        <f t="shared" si="7"/>
        <v>0</v>
      </c>
      <c r="B179" s="2">
        <f>IF(C179=0,0,A179&amp;" "&amp;COUNTIF($A$1:$A179,A179))</f>
        <v>0</v>
      </c>
      <c r="C179" s="1">
        <v>0</v>
      </c>
      <c r="D179" s="2">
        <v>0</v>
      </c>
      <c r="E179" s="2">
        <v>0</v>
      </c>
      <c r="F179" s="2">
        <v>0</v>
      </c>
      <c r="G179" s="2">
        <v>0</v>
      </c>
      <c r="H179" s="2">
        <f t="shared" si="8"/>
        <v>0</v>
      </c>
      <c r="I179" s="2">
        <f t="shared" si="8"/>
        <v>0</v>
      </c>
      <c r="J179" s="2">
        <f t="shared" si="8"/>
        <v>0</v>
      </c>
      <c r="K179" s="2">
        <f t="shared" si="8"/>
        <v>0</v>
      </c>
      <c r="L179" s="2">
        <f t="shared" si="8"/>
        <v>0</v>
      </c>
      <c r="M179" s="2">
        <f t="shared" si="8"/>
        <v>0</v>
      </c>
      <c r="N179" s="2">
        <f t="shared" si="8"/>
        <v>0</v>
      </c>
    </row>
    <row r="180" spans="1:14" x14ac:dyDescent="0.25">
      <c r="A180" s="1">
        <f t="shared" si="7"/>
        <v>0</v>
      </c>
      <c r="B180" s="2">
        <f>IF(C180=0,0,A180&amp;" "&amp;COUNTIF($A$1:$A180,A180))</f>
        <v>0</v>
      </c>
      <c r="C180" s="1">
        <v>0</v>
      </c>
      <c r="D180" s="2">
        <v>0</v>
      </c>
      <c r="E180" s="2">
        <v>0</v>
      </c>
      <c r="F180" s="2">
        <v>0</v>
      </c>
      <c r="G180" s="2">
        <v>0</v>
      </c>
      <c r="H180" s="2">
        <f t="shared" si="8"/>
        <v>0</v>
      </c>
      <c r="I180" s="2">
        <f t="shared" si="8"/>
        <v>0</v>
      </c>
      <c r="J180" s="2">
        <f t="shared" si="8"/>
        <v>0</v>
      </c>
      <c r="K180" s="2">
        <f t="shared" si="8"/>
        <v>0</v>
      </c>
      <c r="L180" s="2">
        <f t="shared" si="8"/>
        <v>0</v>
      </c>
      <c r="M180" s="2">
        <f t="shared" si="8"/>
        <v>0</v>
      </c>
      <c r="N180" s="2">
        <f t="shared" si="8"/>
        <v>0</v>
      </c>
    </row>
    <row r="181" spans="1:14" x14ac:dyDescent="0.25">
      <c r="A181" s="1">
        <f t="shared" si="7"/>
        <v>0</v>
      </c>
      <c r="B181" s="2">
        <f>IF(C181=0,0,A181&amp;" "&amp;COUNTIF($A$1:$A181,A181))</f>
        <v>0</v>
      </c>
      <c r="C181" s="1">
        <v>0</v>
      </c>
      <c r="D181" s="2">
        <v>0</v>
      </c>
      <c r="E181" s="2">
        <v>0</v>
      </c>
      <c r="F181" s="2">
        <v>0</v>
      </c>
      <c r="G181" s="2">
        <v>0</v>
      </c>
      <c r="H181" s="2">
        <f t="shared" si="8"/>
        <v>0</v>
      </c>
      <c r="I181" s="2">
        <f t="shared" si="8"/>
        <v>0</v>
      </c>
      <c r="J181" s="2">
        <f t="shared" si="8"/>
        <v>0</v>
      </c>
      <c r="K181" s="2">
        <f t="shared" si="8"/>
        <v>0</v>
      </c>
      <c r="L181" s="2">
        <f t="shared" si="8"/>
        <v>0</v>
      </c>
      <c r="M181" s="2">
        <f t="shared" si="8"/>
        <v>0</v>
      </c>
      <c r="N181" s="2">
        <f t="shared" si="8"/>
        <v>0</v>
      </c>
    </row>
    <row r="182" spans="1:14" x14ac:dyDescent="0.25">
      <c r="A182" s="1">
        <f t="shared" si="7"/>
        <v>0</v>
      </c>
      <c r="B182" s="2">
        <f>IF(C182=0,0,A182&amp;" "&amp;COUNTIF($A$1:$A182,A182))</f>
        <v>0</v>
      </c>
      <c r="C182" s="1">
        <v>0</v>
      </c>
      <c r="D182" s="2">
        <v>0</v>
      </c>
      <c r="E182" s="2">
        <v>0</v>
      </c>
      <c r="F182" s="2">
        <v>0</v>
      </c>
      <c r="G182" s="2">
        <v>0</v>
      </c>
      <c r="H182" s="2">
        <f t="shared" si="8"/>
        <v>0</v>
      </c>
      <c r="I182" s="2">
        <f t="shared" si="8"/>
        <v>0</v>
      </c>
      <c r="J182" s="2">
        <f t="shared" si="8"/>
        <v>0</v>
      </c>
      <c r="K182" s="2">
        <f t="shared" si="8"/>
        <v>0</v>
      </c>
      <c r="L182" s="2">
        <f t="shared" si="8"/>
        <v>0</v>
      </c>
      <c r="M182" s="2">
        <f t="shared" si="8"/>
        <v>0</v>
      </c>
      <c r="N182" s="2">
        <f t="shared" si="8"/>
        <v>0</v>
      </c>
    </row>
    <row r="183" spans="1:14" x14ac:dyDescent="0.25">
      <c r="A183" s="1">
        <f t="shared" si="7"/>
        <v>0</v>
      </c>
      <c r="B183" s="2">
        <f>IF(C183=0,0,A183&amp;" "&amp;COUNTIF($A$1:$A183,A183))</f>
        <v>0</v>
      </c>
      <c r="C183" s="1">
        <v>0</v>
      </c>
      <c r="D183" s="2">
        <v>0</v>
      </c>
      <c r="E183" s="2">
        <v>0</v>
      </c>
      <c r="F183" s="2">
        <v>0</v>
      </c>
      <c r="G183" s="2">
        <v>0</v>
      </c>
      <c r="H183" s="2">
        <f t="shared" si="8"/>
        <v>0</v>
      </c>
      <c r="I183" s="2">
        <f t="shared" si="8"/>
        <v>0</v>
      </c>
      <c r="J183" s="2">
        <f t="shared" si="8"/>
        <v>0</v>
      </c>
      <c r="K183" s="2">
        <f t="shared" si="8"/>
        <v>0</v>
      </c>
      <c r="L183" s="2">
        <f t="shared" si="8"/>
        <v>0</v>
      </c>
      <c r="M183" s="2">
        <f t="shared" si="8"/>
        <v>0</v>
      </c>
      <c r="N183" s="2">
        <f t="shared" ref="M183:N200" si="9">IF($D183=N$1,$C183*1,0)</f>
        <v>0</v>
      </c>
    </row>
    <row r="184" spans="1:14" x14ac:dyDescent="0.25">
      <c r="A184" s="1">
        <f t="shared" si="7"/>
        <v>0</v>
      </c>
      <c r="B184" s="2">
        <f>IF(C184=0,0,A184&amp;" "&amp;COUNTIF($A$1:$A184,A184))</f>
        <v>0</v>
      </c>
      <c r="C184" s="1">
        <v>0</v>
      </c>
      <c r="D184" s="2">
        <v>0</v>
      </c>
      <c r="E184" s="2">
        <v>0</v>
      </c>
      <c r="F184" s="2">
        <v>0</v>
      </c>
      <c r="G184" s="2">
        <v>0</v>
      </c>
      <c r="H184" s="2">
        <f t="shared" ref="H184:L200" si="10">IF($D184=H$1,$C184*1,0)</f>
        <v>0</v>
      </c>
      <c r="I184" s="2">
        <f t="shared" si="10"/>
        <v>0</v>
      </c>
      <c r="J184" s="2">
        <f t="shared" si="10"/>
        <v>0</v>
      </c>
      <c r="K184" s="2">
        <f t="shared" si="10"/>
        <v>0</v>
      </c>
      <c r="L184" s="2">
        <f t="shared" si="10"/>
        <v>0</v>
      </c>
      <c r="M184" s="2">
        <f t="shared" si="9"/>
        <v>0</v>
      </c>
      <c r="N184" s="2">
        <f t="shared" si="9"/>
        <v>0</v>
      </c>
    </row>
    <row r="185" spans="1:14" x14ac:dyDescent="0.25">
      <c r="A185" s="1">
        <f t="shared" si="7"/>
        <v>0</v>
      </c>
      <c r="B185" s="2">
        <f>IF(C185=0,0,A185&amp;" "&amp;COUNTIF($A$1:$A185,A185))</f>
        <v>0</v>
      </c>
      <c r="C185" s="1">
        <v>0</v>
      </c>
      <c r="D185" s="2">
        <v>0</v>
      </c>
      <c r="E185" s="2">
        <v>0</v>
      </c>
      <c r="F185" s="2">
        <v>0</v>
      </c>
      <c r="G185" s="2">
        <v>0</v>
      </c>
      <c r="H185" s="2">
        <f t="shared" si="10"/>
        <v>0</v>
      </c>
      <c r="I185" s="2">
        <f t="shared" si="10"/>
        <v>0</v>
      </c>
      <c r="J185" s="2">
        <f t="shared" si="10"/>
        <v>0</v>
      </c>
      <c r="K185" s="2">
        <f t="shared" si="10"/>
        <v>0</v>
      </c>
      <c r="L185" s="2">
        <f t="shared" si="10"/>
        <v>0</v>
      </c>
      <c r="M185" s="2">
        <f t="shared" si="9"/>
        <v>0</v>
      </c>
      <c r="N185" s="2">
        <f t="shared" si="9"/>
        <v>0</v>
      </c>
    </row>
    <row r="186" spans="1:14" x14ac:dyDescent="0.25">
      <c r="A186" s="1">
        <f t="shared" si="7"/>
        <v>0</v>
      </c>
      <c r="B186" s="2">
        <f>IF(C186=0,0,A186&amp;" "&amp;COUNTIF($A$1:$A186,A186))</f>
        <v>0</v>
      </c>
      <c r="C186" s="1">
        <v>0</v>
      </c>
      <c r="D186" s="2">
        <v>0</v>
      </c>
      <c r="E186" s="2">
        <v>0</v>
      </c>
      <c r="F186" s="2">
        <v>0</v>
      </c>
      <c r="G186" s="2">
        <v>0</v>
      </c>
      <c r="H186" s="2">
        <f t="shared" si="10"/>
        <v>0</v>
      </c>
      <c r="I186" s="2">
        <f t="shared" si="10"/>
        <v>0</v>
      </c>
      <c r="J186" s="2">
        <f t="shared" si="10"/>
        <v>0</v>
      </c>
      <c r="K186" s="2">
        <f t="shared" si="10"/>
        <v>0</v>
      </c>
      <c r="L186" s="2">
        <f t="shared" si="10"/>
        <v>0</v>
      </c>
      <c r="M186" s="2">
        <f t="shared" si="9"/>
        <v>0</v>
      </c>
      <c r="N186" s="2">
        <f t="shared" si="9"/>
        <v>0</v>
      </c>
    </row>
    <row r="187" spans="1:14" x14ac:dyDescent="0.25">
      <c r="A187" s="1">
        <f t="shared" si="7"/>
        <v>0</v>
      </c>
      <c r="B187" s="2">
        <f>IF(C187=0,0,A187&amp;" "&amp;COUNTIF($A$1:$A187,A187))</f>
        <v>0</v>
      </c>
      <c r="C187" s="1">
        <v>0</v>
      </c>
      <c r="D187" s="2">
        <v>0</v>
      </c>
      <c r="E187" s="2">
        <v>0</v>
      </c>
      <c r="F187" s="2">
        <v>0</v>
      </c>
      <c r="G187" s="2">
        <v>0</v>
      </c>
      <c r="H187" s="2">
        <f t="shared" si="10"/>
        <v>0</v>
      </c>
      <c r="I187" s="2">
        <f t="shared" si="10"/>
        <v>0</v>
      </c>
      <c r="J187" s="2">
        <f t="shared" si="10"/>
        <v>0</v>
      </c>
      <c r="K187" s="2">
        <f t="shared" si="10"/>
        <v>0</v>
      </c>
      <c r="L187" s="2">
        <f t="shared" si="10"/>
        <v>0</v>
      </c>
      <c r="M187" s="2">
        <f t="shared" si="9"/>
        <v>0</v>
      </c>
      <c r="N187" s="2">
        <f t="shared" si="9"/>
        <v>0</v>
      </c>
    </row>
    <row r="188" spans="1:14" x14ac:dyDescent="0.25">
      <c r="A188" s="1">
        <f t="shared" si="7"/>
        <v>0</v>
      </c>
      <c r="B188" s="2">
        <f>IF(C188=0,0,A188&amp;" "&amp;COUNTIF($A$1:$A188,A188))</f>
        <v>0</v>
      </c>
      <c r="C188" s="1">
        <v>0</v>
      </c>
      <c r="D188" s="2">
        <v>0</v>
      </c>
      <c r="E188" s="2">
        <v>0</v>
      </c>
      <c r="F188" s="2">
        <v>0</v>
      </c>
      <c r="G188" s="2">
        <v>0</v>
      </c>
      <c r="H188" s="2">
        <f t="shared" si="10"/>
        <v>0</v>
      </c>
      <c r="I188" s="2">
        <f t="shared" si="10"/>
        <v>0</v>
      </c>
      <c r="J188" s="2">
        <f t="shared" si="10"/>
        <v>0</v>
      </c>
      <c r="K188" s="2">
        <f t="shared" si="10"/>
        <v>0</v>
      </c>
      <c r="L188" s="2">
        <f t="shared" si="10"/>
        <v>0</v>
      </c>
      <c r="M188" s="2">
        <f t="shared" si="9"/>
        <v>0</v>
      </c>
      <c r="N188" s="2">
        <f t="shared" si="9"/>
        <v>0</v>
      </c>
    </row>
    <row r="189" spans="1:14" x14ac:dyDescent="0.25">
      <c r="A189" s="1">
        <f t="shared" si="7"/>
        <v>0</v>
      </c>
      <c r="B189" s="2">
        <f>IF(C189=0,0,A189&amp;" "&amp;COUNTIF($A$1:$A189,A189))</f>
        <v>0</v>
      </c>
      <c r="C189" s="1">
        <v>0</v>
      </c>
      <c r="D189" s="2">
        <v>0</v>
      </c>
      <c r="E189" s="2">
        <v>0</v>
      </c>
      <c r="F189" s="2">
        <v>0</v>
      </c>
      <c r="G189" s="2">
        <v>0</v>
      </c>
      <c r="H189" s="2">
        <f t="shared" si="10"/>
        <v>0</v>
      </c>
      <c r="I189" s="2">
        <f t="shared" si="10"/>
        <v>0</v>
      </c>
      <c r="J189" s="2">
        <f t="shared" si="10"/>
        <v>0</v>
      </c>
      <c r="K189" s="2">
        <f t="shared" si="10"/>
        <v>0</v>
      </c>
      <c r="L189" s="2">
        <f t="shared" si="10"/>
        <v>0</v>
      </c>
      <c r="M189" s="2">
        <f t="shared" si="9"/>
        <v>0</v>
      </c>
      <c r="N189" s="2">
        <f t="shared" si="9"/>
        <v>0</v>
      </c>
    </row>
    <row r="190" spans="1:14" x14ac:dyDescent="0.25">
      <c r="A190" s="1">
        <f t="shared" si="7"/>
        <v>0</v>
      </c>
      <c r="B190" s="2">
        <f>IF(C190=0,0,A190&amp;" "&amp;COUNTIF($A$1:$A190,A190))</f>
        <v>0</v>
      </c>
      <c r="C190" s="1">
        <v>0</v>
      </c>
      <c r="D190" s="2">
        <v>0</v>
      </c>
      <c r="E190" s="2">
        <v>0</v>
      </c>
      <c r="F190" s="2">
        <v>0</v>
      </c>
      <c r="G190" s="2">
        <v>0</v>
      </c>
      <c r="H190" s="2">
        <f t="shared" si="10"/>
        <v>0</v>
      </c>
      <c r="I190" s="2">
        <f t="shared" si="10"/>
        <v>0</v>
      </c>
      <c r="J190" s="2">
        <f t="shared" si="10"/>
        <v>0</v>
      </c>
      <c r="K190" s="2">
        <f t="shared" si="10"/>
        <v>0</v>
      </c>
      <c r="L190" s="2">
        <f t="shared" si="10"/>
        <v>0</v>
      </c>
      <c r="M190" s="2">
        <f t="shared" si="9"/>
        <v>0</v>
      </c>
      <c r="N190" s="2">
        <f t="shared" si="9"/>
        <v>0</v>
      </c>
    </row>
    <row r="191" spans="1:14" x14ac:dyDescent="0.25">
      <c r="A191" s="1">
        <f t="shared" si="7"/>
        <v>0</v>
      </c>
      <c r="B191" s="2">
        <f>IF(C191=0,0,A191&amp;" "&amp;COUNTIF($A$1:$A191,A191))</f>
        <v>0</v>
      </c>
      <c r="C191" s="1">
        <v>0</v>
      </c>
      <c r="D191" s="2">
        <v>0</v>
      </c>
      <c r="E191" s="2">
        <v>0</v>
      </c>
      <c r="F191" s="2">
        <v>0</v>
      </c>
      <c r="G191" s="2">
        <v>0</v>
      </c>
      <c r="H191" s="2">
        <f t="shared" si="10"/>
        <v>0</v>
      </c>
      <c r="I191" s="2">
        <f t="shared" si="10"/>
        <v>0</v>
      </c>
      <c r="J191" s="2">
        <f t="shared" si="10"/>
        <v>0</v>
      </c>
      <c r="K191" s="2">
        <f t="shared" si="10"/>
        <v>0</v>
      </c>
      <c r="L191" s="2">
        <f t="shared" si="10"/>
        <v>0</v>
      </c>
      <c r="M191" s="2">
        <f t="shared" si="9"/>
        <v>0</v>
      </c>
      <c r="N191" s="2">
        <f t="shared" si="9"/>
        <v>0</v>
      </c>
    </row>
    <row r="192" spans="1:14" x14ac:dyDescent="0.25">
      <c r="A192" s="1">
        <f t="shared" si="7"/>
        <v>0</v>
      </c>
      <c r="B192" s="2">
        <f>IF(C192=0,0,A192&amp;" "&amp;COUNTIF($A$1:$A192,A192))</f>
        <v>0</v>
      </c>
      <c r="C192" s="1">
        <v>0</v>
      </c>
      <c r="D192" s="2">
        <v>0</v>
      </c>
      <c r="E192" s="2">
        <v>0</v>
      </c>
      <c r="F192" s="2">
        <v>0</v>
      </c>
      <c r="G192" s="2">
        <v>0</v>
      </c>
      <c r="H192" s="2">
        <f t="shared" si="10"/>
        <v>0</v>
      </c>
      <c r="I192" s="2">
        <f t="shared" si="10"/>
        <v>0</v>
      </c>
      <c r="J192" s="2">
        <f t="shared" si="10"/>
        <v>0</v>
      </c>
      <c r="K192" s="2">
        <f t="shared" si="10"/>
        <v>0</v>
      </c>
      <c r="L192" s="2">
        <f t="shared" si="10"/>
        <v>0</v>
      </c>
      <c r="M192" s="2">
        <f t="shared" si="9"/>
        <v>0</v>
      </c>
      <c r="N192" s="2">
        <f t="shared" si="9"/>
        <v>0</v>
      </c>
    </row>
    <row r="193" spans="1:14" x14ac:dyDescent="0.25">
      <c r="A193" s="1">
        <f t="shared" si="7"/>
        <v>0</v>
      </c>
      <c r="B193" s="2">
        <f>IF(C193=0,0,A193&amp;" "&amp;COUNTIF($A$1:$A193,A193))</f>
        <v>0</v>
      </c>
      <c r="C193" s="1">
        <v>0</v>
      </c>
      <c r="D193" s="2">
        <v>0</v>
      </c>
      <c r="E193" s="2">
        <v>0</v>
      </c>
      <c r="F193" s="2">
        <v>0</v>
      </c>
      <c r="G193" s="2">
        <v>0</v>
      </c>
      <c r="H193" s="2">
        <f t="shared" si="10"/>
        <v>0</v>
      </c>
      <c r="I193" s="2">
        <f t="shared" si="10"/>
        <v>0</v>
      </c>
      <c r="J193" s="2">
        <f t="shared" si="10"/>
        <v>0</v>
      </c>
      <c r="K193" s="2">
        <f t="shared" si="10"/>
        <v>0</v>
      </c>
      <c r="L193" s="2">
        <f t="shared" si="10"/>
        <v>0</v>
      </c>
      <c r="M193" s="2">
        <f t="shared" si="9"/>
        <v>0</v>
      </c>
      <c r="N193" s="2">
        <f t="shared" si="9"/>
        <v>0</v>
      </c>
    </row>
    <row r="194" spans="1:14" x14ac:dyDescent="0.25">
      <c r="A194" s="1">
        <f t="shared" si="7"/>
        <v>0</v>
      </c>
      <c r="B194" s="2">
        <f>IF(C194=0,0,A194&amp;" "&amp;COUNTIF($A$1:$A194,A194))</f>
        <v>0</v>
      </c>
      <c r="C194" s="1">
        <v>0</v>
      </c>
      <c r="D194" s="2">
        <v>0</v>
      </c>
      <c r="E194" s="2">
        <v>0</v>
      </c>
      <c r="F194" s="2">
        <v>0</v>
      </c>
      <c r="G194" s="2">
        <v>0</v>
      </c>
      <c r="H194" s="2">
        <f t="shared" si="10"/>
        <v>0</v>
      </c>
      <c r="I194" s="2">
        <f t="shared" si="10"/>
        <v>0</v>
      </c>
      <c r="J194" s="2">
        <f t="shared" si="10"/>
        <v>0</v>
      </c>
      <c r="K194" s="2">
        <f t="shared" si="10"/>
        <v>0</v>
      </c>
      <c r="L194" s="2">
        <f t="shared" si="10"/>
        <v>0</v>
      </c>
      <c r="M194" s="2">
        <f t="shared" si="9"/>
        <v>0</v>
      </c>
      <c r="N194" s="2">
        <f t="shared" si="9"/>
        <v>0</v>
      </c>
    </row>
    <row r="195" spans="1:14" x14ac:dyDescent="0.25">
      <c r="A195" s="1">
        <f t="shared" ref="A195:A200" si="11">IF(C195=1,D195,0)</f>
        <v>0</v>
      </c>
      <c r="B195" s="2">
        <f>IF(C195=0,0,A195&amp;" "&amp;COUNTIF($A$1:$A195,A195))</f>
        <v>0</v>
      </c>
      <c r="C195" s="1">
        <v>0</v>
      </c>
      <c r="D195" s="2">
        <v>0</v>
      </c>
      <c r="E195" s="2">
        <v>0</v>
      </c>
      <c r="F195" s="2">
        <v>0</v>
      </c>
      <c r="G195" s="2">
        <v>0</v>
      </c>
      <c r="H195" s="2">
        <f t="shared" si="10"/>
        <v>0</v>
      </c>
      <c r="I195" s="2">
        <f t="shared" si="10"/>
        <v>0</v>
      </c>
      <c r="J195" s="2">
        <f t="shared" si="10"/>
        <v>0</v>
      </c>
      <c r="K195" s="2">
        <f t="shared" si="10"/>
        <v>0</v>
      </c>
      <c r="L195" s="2">
        <f t="shared" si="10"/>
        <v>0</v>
      </c>
      <c r="M195" s="2">
        <f t="shared" si="9"/>
        <v>0</v>
      </c>
      <c r="N195" s="2">
        <f t="shared" si="9"/>
        <v>0</v>
      </c>
    </row>
    <row r="196" spans="1:14" x14ac:dyDescent="0.25">
      <c r="A196" s="1">
        <f t="shared" si="11"/>
        <v>0</v>
      </c>
      <c r="B196" s="2">
        <f>IF(C196=0,0,A196&amp;" "&amp;COUNTIF($A$1:$A196,A196))</f>
        <v>0</v>
      </c>
      <c r="C196" s="1">
        <v>0</v>
      </c>
      <c r="D196" s="2">
        <v>0</v>
      </c>
      <c r="E196" s="2">
        <v>0</v>
      </c>
      <c r="F196" s="2">
        <v>0</v>
      </c>
      <c r="G196" s="2">
        <v>0</v>
      </c>
      <c r="H196" s="2">
        <f t="shared" si="10"/>
        <v>0</v>
      </c>
      <c r="I196" s="2">
        <f t="shared" si="10"/>
        <v>0</v>
      </c>
      <c r="J196" s="2">
        <f t="shared" si="10"/>
        <v>0</v>
      </c>
      <c r="K196" s="2">
        <f t="shared" si="10"/>
        <v>0</v>
      </c>
      <c r="L196" s="2">
        <f t="shared" si="10"/>
        <v>0</v>
      </c>
      <c r="M196" s="2">
        <f t="shared" si="9"/>
        <v>0</v>
      </c>
      <c r="N196" s="2">
        <f t="shared" si="9"/>
        <v>0</v>
      </c>
    </row>
    <row r="197" spans="1:14" x14ac:dyDescent="0.25">
      <c r="A197" s="1">
        <f t="shared" si="11"/>
        <v>0</v>
      </c>
      <c r="B197" s="2">
        <f>IF(C197=0,0,A197&amp;" "&amp;COUNTIF($A$1:$A197,A197))</f>
        <v>0</v>
      </c>
      <c r="C197" s="1">
        <v>0</v>
      </c>
      <c r="D197" s="2">
        <v>0</v>
      </c>
      <c r="E197" s="2">
        <v>0</v>
      </c>
      <c r="F197" s="2">
        <v>0</v>
      </c>
      <c r="G197" s="2">
        <v>0</v>
      </c>
      <c r="H197" s="2">
        <f t="shared" si="10"/>
        <v>0</v>
      </c>
      <c r="I197" s="2">
        <f t="shared" si="10"/>
        <v>0</v>
      </c>
      <c r="J197" s="2">
        <f t="shared" si="10"/>
        <v>0</v>
      </c>
      <c r="K197" s="2">
        <f t="shared" si="10"/>
        <v>0</v>
      </c>
      <c r="L197" s="2">
        <f t="shared" si="10"/>
        <v>0</v>
      </c>
      <c r="M197" s="2">
        <f t="shared" si="9"/>
        <v>0</v>
      </c>
      <c r="N197" s="2">
        <f t="shared" si="9"/>
        <v>0</v>
      </c>
    </row>
    <row r="198" spans="1:14" x14ac:dyDescent="0.25">
      <c r="A198" s="1">
        <f t="shared" si="11"/>
        <v>0</v>
      </c>
      <c r="B198" s="2">
        <f>IF(C198=0,0,A198&amp;" "&amp;COUNTIF($A$1:$A198,A198))</f>
        <v>0</v>
      </c>
      <c r="C198" s="1">
        <v>0</v>
      </c>
      <c r="D198" s="2">
        <v>0</v>
      </c>
      <c r="E198" s="2">
        <v>0</v>
      </c>
      <c r="F198" s="2">
        <v>0</v>
      </c>
      <c r="G198" s="2">
        <v>0</v>
      </c>
      <c r="H198" s="2">
        <f t="shared" si="10"/>
        <v>0</v>
      </c>
      <c r="I198" s="2">
        <f t="shared" si="10"/>
        <v>0</v>
      </c>
      <c r="J198" s="2">
        <f t="shared" si="10"/>
        <v>0</v>
      </c>
      <c r="K198" s="2">
        <f t="shared" si="10"/>
        <v>0</v>
      </c>
      <c r="L198" s="2">
        <f t="shared" si="10"/>
        <v>0</v>
      </c>
      <c r="M198" s="2">
        <f t="shared" si="9"/>
        <v>0</v>
      </c>
      <c r="N198" s="2">
        <f t="shared" si="9"/>
        <v>0</v>
      </c>
    </row>
    <row r="199" spans="1:14" x14ac:dyDescent="0.25">
      <c r="A199" s="1">
        <f t="shared" si="11"/>
        <v>0</v>
      </c>
      <c r="B199" s="2">
        <f>IF(C199=0,0,A199&amp;" "&amp;COUNTIF($A$1:$A199,A199))</f>
        <v>0</v>
      </c>
      <c r="C199" s="1">
        <v>0</v>
      </c>
      <c r="D199" s="2">
        <v>0</v>
      </c>
      <c r="E199" s="2">
        <v>0</v>
      </c>
      <c r="F199" s="2">
        <v>0</v>
      </c>
      <c r="G199" s="2">
        <v>0</v>
      </c>
      <c r="H199" s="2">
        <f t="shared" si="10"/>
        <v>0</v>
      </c>
      <c r="I199" s="2">
        <f t="shared" si="10"/>
        <v>0</v>
      </c>
      <c r="J199" s="2">
        <f t="shared" si="10"/>
        <v>0</v>
      </c>
      <c r="K199" s="2">
        <f t="shared" si="10"/>
        <v>0</v>
      </c>
      <c r="L199" s="2">
        <f t="shared" si="10"/>
        <v>0</v>
      </c>
      <c r="M199" s="2">
        <f t="shared" si="9"/>
        <v>0</v>
      </c>
      <c r="N199" s="2">
        <f t="shared" si="9"/>
        <v>0</v>
      </c>
    </row>
    <row r="200" spans="1:14" x14ac:dyDescent="0.25">
      <c r="A200" s="1">
        <f t="shared" si="11"/>
        <v>0</v>
      </c>
      <c r="B200" s="2">
        <f>IF(C200=0,0,A200&amp;" "&amp;COUNTIF($A$1:$A200,A200))</f>
        <v>0</v>
      </c>
      <c r="C200" s="1">
        <v>0</v>
      </c>
      <c r="D200" s="2">
        <v>0</v>
      </c>
      <c r="E200" s="2">
        <v>0</v>
      </c>
      <c r="F200" s="2">
        <v>0</v>
      </c>
      <c r="G200" s="2">
        <v>0</v>
      </c>
      <c r="H200" s="2">
        <f t="shared" si="10"/>
        <v>0</v>
      </c>
      <c r="I200" s="2">
        <f t="shared" si="10"/>
        <v>0</v>
      </c>
      <c r="J200" s="2">
        <f t="shared" si="10"/>
        <v>0</v>
      </c>
      <c r="K200" s="2">
        <f t="shared" si="10"/>
        <v>0</v>
      </c>
      <c r="L200" s="2">
        <f t="shared" si="10"/>
        <v>0</v>
      </c>
      <c r="M200" s="2">
        <f t="shared" si="9"/>
        <v>0</v>
      </c>
      <c r="N200" s="2">
        <f t="shared" si="9"/>
        <v>0</v>
      </c>
    </row>
    <row r="201" spans="1:14" x14ac:dyDescent="0.25">
      <c r="C201" s="1"/>
      <c r="D201" s="2">
        <v>0</v>
      </c>
      <c r="E201" s="2">
        <v>0</v>
      </c>
      <c r="F201" s="2">
        <v>0</v>
      </c>
      <c r="G201" s="2">
        <v>0</v>
      </c>
    </row>
    <row r="202" spans="1:14" x14ac:dyDescent="0.25">
      <c r="C202" s="1"/>
      <c r="D202" s="2">
        <v>0</v>
      </c>
      <c r="E202" s="2">
        <v>0</v>
      </c>
      <c r="F202" s="2">
        <v>0</v>
      </c>
      <c r="G202" s="2">
        <v>0</v>
      </c>
    </row>
    <row r="203" spans="1:14" x14ac:dyDescent="0.25">
      <c r="C203" s="1"/>
      <c r="D203" s="2">
        <v>0</v>
      </c>
      <c r="E203" s="2">
        <v>0</v>
      </c>
      <c r="F203" s="2">
        <v>0</v>
      </c>
      <c r="G203" s="2">
        <v>0</v>
      </c>
    </row>
    <row r="204" spans="1:14" x14ac:dyDescent="0.25">
      <c r="C204" s="1"/>
      <c r="D204" s="2">
        <v>0</v>
      </c>
      <c r="E204" s="2">
        <v>0</v>
      </c>
      <c r="F204" s="2">
        <v>0</v>
      </c>
      <c r="G204" s="2">
        <v>0</v>
      </c>
    </row>
    <row r="205" spans="1:14" x14ac:dyDescent="0.25">
      <c r="C205" s="1"/>
      <c r="D205" s="2">
        <v>0</v>
      </c>
      <c r="E205" s="2">
        <v>0</v>
      </c>
      <c r="F205" s="2">
        <v>0</v>
      </c>
      <c r="G205" s="2">
        <v>0</v>
      </c>
    </row>
    <row r="206" spans="1:14" x14ac:dyDescent="0.25">
      <c r="C206" s="1"/>
      <c r="D206" s="2">
        <v>0</v>
      </c>
      <c r="E206" s="2">
        <v>0</v>
      </c>
      <c r="F206" s="2">
        <v>0</v>
      </c>
      <c r="G206" s="2">
        <v>0</v>
      </c>
    </row>
    <row r="207" spans="1:14" x14ac:dyDescent="0.25">
      <c r="C207" s="1"/>
      <c r="D207" s="2">
        <v>0</v>
      </c>
      <c r="E207" s="2">
        <v>0</v>
      </c>
      <c r="F207" s="2">
        <v>0</v>
      </c>
      <c r="G207" s="2">
        <v>0</v>
      </c>
    </row>
    <row r="208" spans="1:14" x14ac:dyDescent="0.25">
      <c r="C208" s="1"/>
      <c r="D208" s="2">
        <v>0</v>
      </c>
      <c r="E208" s="2">
        <v>0</v>
      </c>
      <c r="F208" s="2">
        <v>0</v>
      </c>
      <c r="G208" s="2">
        <v>0</v>
      </c>
    </row>
    <row r="209" spans="3:7" x14ac:dyDescent="0.25">
      <c r="C209" s="1"/>
      <c r="D209" s="2">
        <v>0</v>
      </c>
      <c r="E209" s="2">
        <v>0</v>
      </c>
      <c r="F209" s="2">
        <v>0</v>
      </c>
      <c r="G209" s="2">
        <v>0</v>
      </c>
    </row>
    <row r="210" spans="3:7" x14ac:dyDescent="0.25">
      <c r="C210" s="1"/>
      <c r="D210" s="2">
        <v>0</v>
      </c>
      <c r="E210" s="2">
        <v>0</v>
      </c>
      <c r="F210" s="2">
        <v>0</v>
      </c>
      <c r="G210" s="2">
        <v>0</v>
      </c>
    </row>
    <row r="211" spans="3:7" x14ac:dyDescent="0.25">
      <c r="C211" s="1"/>
      <c r="D211" s="2">
        <v>0</v>
      </c>
      <c r="E211" s="2">
        <v>0</v>
      </c>
      <c r="F211" s="2">
        <v>0</v>
      </c>
      <c r="G211" s="2">
        <v>0</v>
      </c>
    </row>
    <row r="212" spans="3:7" x14ac:dyDescent="0.25">
      <c r="C212" s="1"/>
      <c r="D212" s="2">
        <v>0</v>
      </c>
      <c r="E212" s="2">
        <v>0</v>
      </c>
      <c r="F212" s="2">
        <v>0</v>
      </c>
      <c r="G212" s="2">
        <v>0</v>
      </c>
    </row>
    <row r="213" spans="3:7" x14ac:dyDescent="0.25">
      <c r="C213" s="1"/>
      <c r="D213" s="2">
        <v>0</v>
      </c>
      <c r="E213" s="2">
        <v>0</v>
      </c>
      <c r="F213" s="2">
        <v>0</v>
      </c>
      <c r="G213" s="2">
        <v>0</v>
      </c>
    </row>
    <row r="214" spans="3:7" x14ac:dyDescent="0.25">
      <c r="C214" s="1"/>
      <c r="D214" s="2">
        <v>0</v>
      </c>
      <c r="E214" s="2">
        <v>0</v>
      </c>
      <c r="F214" s="2">
        <v>0</v>
      </c>
      <c r="G214" s="2">
        <v>0</v>
      </c>
    </row>
    <row r="215" spans="3:7" x14ac:dyDescent="0.25">
      <c r="C215" s="1"/>
      <c r="D215" s="2">
        <v>0</v>
      </c>
      <c r="E215" s="2">
        <v>0</v>
      </c>
      <c r="F215" s="2">
        <v>0</v>
      </c>
      <c r="G215" s="2">
        <v>0</v>
      </c>
    </row>
    <row r="216" spans="3:7" x14ac:dyDescent="0.25">
      <c r="C216" s="1"/>
      <c r="D216" s="2">
        <v>0</v>
      </c>
      <c r="E216" s="2">
        <v>0</v>
      </c>
      <c r="F216" s="2">
        <v>0</v>
      </c>
      <c r="G216" s="2">
        <v>0</v>
      </c>
    </row>
    <row r="217" spans="3:7" x14ac:dyDescent="0.25">
      <c r="C217" s="1"/>
      <c r="D217" s="2">
        <v>0</v>
      </c>
      <c r="E217" s="2">
        <v>0</v>
      </c>
      <c r="F217" s="2">
        <v>0</v>
      </c>
      <c r="G217" s="2">
        <v>0</v>
      </c>
    </row>
    <row r="218" spans="3:7" x14ac:dyDescent="0.25">
      <c r="C218" s="1"/>
      <c r="D218" s="2">
        <v>0</v>
      </c>
      <c r="E218" s="2">
        <v>0</v>
      </c>
      <c r="F218" s="2">
        <v>0</v>
      </c>
      <c r="G218" s="2">
        <v>0</v>
      </c>
    </row>
    <row r="219" spans="3:7" x14ac:dyDescent="0.25">
      <c r="C219" s="1"/>
      <c r="D219" s="2">
        <v>0</v>
      </c>
      <c r="E219" s="2">
        <v>0</v>
      </c>
      <c r="F219" s="2">
        <v>0</v>
      </c>
      <c r="G219" s="2">
        <v>0</v>
      </c>
    </row>
    <row r="220" spans="3:7" x14ac:dyDescent="0.25">
      <c r="C220" s="1"/>
      <c r="D220" s="2">
        <v>0</v>
      </c>
      <c r="E220" s="2">
        <v>0</v>
      </c>
      <c r="F220" s="2">
        <v>0</v>
      </c>
      <c r="G220" s="2">
        <v>0</v>
      </c>
    </row>
    <row r="221" spans="3:7" x14ac:dyDescent="0.25">
      <c r="C221" s="1"/>
      <c r="D221" s="2">
        <v>0</v>
      </c>
      <c r="E221" s="2">
        <v>0</v>
      </c>
      <c r="F221" s="2">
        <v>0</v>
      </c>
      <c r="G221" s="2">
        <v>0</v>
      </c>
    </row>
    <row r="222" spans="3:7" x14ac:dyDescent="0.25">
      <c r="C222" s="1"/>
      <c r="D222" s="2">
        <v>0</v>
      </c>
      <c r="E222" s="2">
        <v>0</v>
      </c>
      <c r="F222" s="2">
        <v>0</v>
      </c>
      <c r="G222" s="2">
        <v>0</v>
      </c>
    </row>
    <row r="223" spans="3:7" x14ac:dyDescent="0.25">
      <c r="C223" s="1"/>
      <c r="D223" s="2">
        <v>0</v>
      </c>
      <c r="E223" s="2">
        <v>0</v>
      </c>
      <c r="F223" s="2">
        <v>0</v>
      </c>
      <c r="G223" s="2">
        <v>0</v>
      </c>
    </row>
    <row r="224" spans="3:7" x14ac:dyDescent="0.25">
      <c r="C224" s="1"/>
      <c r="D224" s="2">
        <v>0</v>
      </c>
      <c r="E224" s="2">
        <v>0</v>
      </c>
      <c r="F224" s="2">
        <v>0</v>
      </c>
      <c r="G224" s="2">
        <v>0</v>
      </c>
    </row>
    <row r="225" spans="3:7" x14ac:dyDescent="0.25">
      <c r="C225" s="1"/>
      <c r="D225" s="2">
        <v>0</v>
      </c>
      <c r="E225" s="2">
        <v>0</v>
      </c>
      <c r="F225" s="2">
        <v>0</v>
      </c>
      <c r="G225" s="2">
        <v>0</v>
      </c>
    </row>
    <row r="226" spans="3:7" x14ac:dyDescent="0.25">
      <c r="C226" s="1"/>
      <c r="D226" s="2">
        <v>0</v>
      </c>
      <c r="E226" s="2">
        <v>0</v>
      </c>
      <c r="F226" s="2">
        <v>0</v>
      </c>
      <c r="G226" s="2">
        <v>0</v>
      </c>
    </row>
    <row r="227" spans="3:7" x14ac:dyDescent="0.25">
      <c r="C227" s="1"/>
      <c r="D227" s="2">
        <v>0</v>
      </c>
      <c r="E227" s="2">
        <v>0</v>
      </c>
      <c r="F227" s="2">
        <v>0</v>
      </c>
      <c r="G227" s="2">
        <v>0</v>
      </c>
    </row>
    <row r="228" spans="3:7" x14ac:dyDescent="0.25">
      <c r="C228" s="1"/>
      <c r="D228" s="2">
        <v>0</v>
      </c>
      <c r="E228" s="2">
        <v>0</v>
      </c>
      <c r="F228" s="2">
        <v>0</v>
      </c>
      <c r="G228" s="2">
        <v>0</v>
      </c>
    </row>
    <row r="229" spans="3:7" x14ac:dyDescent="0.25">
      <c r="C229" s="1"/>
      <c r="D229" s="2">
        <v>0</v>
      </c>
      <c r="E229" s="2">
        <v>0</v>
      </c>
      <c r="F229" s="2">
        <v>0</v>
      </c>
      <c r="G229" s="2">
        <v>0</v>
      </c>
    </row>
    <row r="230" spans="3:7" x14ac:dyDescent="0.25">
      <c r="C230" s="1"/>
      <c r="D230" s="2">
        <v>0</v>
      </c>
      <c r="E230" s="2">
        <v>0</v>
      </c>
      <c r="F230" s="2">
        <v>0</v>
      </c>
      <c r="G230" s="2">
        <v>0</v>
      </c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I18" sqref="I18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15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17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'Fanduel MLB Solver'!Q13</f>
        <v>145.140270466</v>
      </c>
      <c r="E15" s="36"/>
      <c r="F15" s="41" t="str">
        <f>'Fanduel MLB Solver'!Q24</f>
        <v>A.J. Griffin</v>
      </c>
      <c r="G15" s="40" t="str">
        <f>'Fanduel MLB Solver'!Q25</f>
        <v>Mike Trout</v>
      </c>
      <c r="H15" s="41" t="str">
        <f>'Fanduel MLB Solver'!Q26</f>
        <v>Justin Upton</v>
      </c>
      <c r="I15" s="40" t="str">
        <f>'Fanduel MLB Solver'!Q27</f>
        <v>Charlie Blackmon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'Fanduel MLB Solver'!Q10</f>
        <v>38700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'Fanduel MLB Solver'!Q28</f>
        <v>Jed Lowrie</v>
      </c>
      <c r="G17" s="41" t="str">
        <f>'Fanduel MLB Solver'!Q29</f>
        <v>Joey Gallo</v>
      </c>
      <c r="H17" s="40" t="str">
        <f>'Fanduel MLB Solver'!Q30</f>
        <v>Yasmani Grandal</v>
      </c>
      <c r="I17" s="41"/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49"/>
  <sheetViews>
    <sheetView topLeftCell="A27" workbookViewId="0">
      <selection activeCell="A2" sqref="A2:C31"/>
    </sheetView>
  </sheetViews>
  <sheetFormatPr defaultRowHeight="15" x14ac:dyDescent="0.25"/>
  <sheetData>
    <row r="1" spans="1:9" x14ac:dyDescent="0.25">
      <c r="A1" t="s">
        <v>89</v>
      </c>
      <c r="B1" t="s">
        <v>4</v>
      </c>
      <c r="C1" t="s">
        <v>5</v>
      </c>
      <c r="D1" t="s">
        <v>99</v>
      </c>
      <c r="E1" t="s">
        <v>90</v>
      </c>
      <c r="F1" t="s">
        <v>91</v>
      </c>
      <c r="G1" t="s">
        <v>100</v>
      </c>
      <c r="H1" t="s">
        <v>92</v>
      </c>
      <c r="I1" t="s">
        <v>106</v>
      </c>
    </row>
    <row r="2" spans="1:9" x14ac:dyDescent="0.25">
      <c r="A2" t="s">
        <v>26</v>
      </c>
      <c r="B2">
        <v>40.553333330000001</v>
      </c>
      <c r="C2">
        <v>8300</v>
      </c>
      <c r="D2">
        <v>33.659999999999997</v>
      </c>
      <c r="E2">
        <v>44</v>
      </c>
      <c r="F2">
        <v>22.565217390000001</v>
      </c>
      <c r="G2" t="s">
        <v>94</v>
      </c>
    </row>
    <row r="3" spans="1:9" x14ac:dyDescent="0.25">
      <c r="A3" t="s">
        <v>24</v>
      </c>
      <c r="B3">
        <v>27.214285709999999</v>
      </c>
      <c r="C3">
        <v>9500</v>
      </c>
      <c r="D3">
        <v>30.042857139999999</v>
      </c>
      <c r="E3">
        <v>25.8</v>
      </c>
      <c r="F3">
        <v>38.488235289999999</v>
      </c>
      <c r="G3" t="s">
        <v>93</v>
      </c>
    </row>
    <row r="4" spans="1:9" x14ac:dyDescent="0.25">
      <c r="A4" t="s">
        <v>47</v>
      </c>
      <c r="B4">
        <v>25.542857139999999</v>
      </c>
      <c r="C4">
        <v>6700</v>
      </c>
      <c r="D4">
        <v>27.428571430000002</v>
      </c>
      <c r="E4">
        <v>24.6</v>
      </c>
      <c r="F4">
        <v>0</v>
      </c>
      <c r="G4" t="s">
        <v>97</v>
      </c>
    </row>
    <row r="5" spans="1:9" x14ac:dyDescent="0.25">
      <c r="A5" t="s">
        <v>25</v>
      </c>
      <c r="B5">
        <v>25</v>
      </c>
      <c r="C5">
        <v>7400</v>
      </c>
      <c r="D5">
        <v>25</v>
      </c>
      <c r="E5">
        <v>25</v>
      </c>
      <c r="F5">
        <v>23.666666670000001</v>
      </c>
      <c r="G5" t="s">
        <v>96</v>
      </c>
    </row>
    <row r="6" spans="1:9" x14ac:dyDescent="0.25">
      <c r="A6" t="s">
        <v>34</v>
      </c>
      <c r="B6">
        <v>19.733333330000001</v>
      </c>
      <c r="C6">
        <v>7500</v>
      </c>
      <c r="D6">
        <v>24.55</v>
      </c>
      <c r="E6">
        <v>17.324999999999999</v>
      </c>
      <c r="F6">
        <v>22.161290319999999</v>
      </c>
      <c r="G6" t="s">
        <v>95</v>
      </c>
    </row>
    <row r="7" spans="1: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 t="s">
        <v>46</v>
      </c>
      <c r="B45">
        <v>0</v>
      </c>
      <c r="C45">
        <v>5900</v>
      </c>
      <c r="D45">
        <v>0</v>
      </c>
      <c r="E45">
        <v>0</v>
      </c>
      <c r="F45">
        <v>0</v>
      </c>
      <c r="G45" t="s">
        <v>98</v>
      </c>
    </row>
    <row r="46" spans="1:7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G920">
        <v>0</v>
      </c>
    </row>
    <row r="921" spans="1:7" x14ac:dyDescent="0.25">
      <c r="A921">
        <v>0</v>
      </c>
      <c r="B921">
        <v>0</v>
      </c>
      <c r="G921">
        <v>0</v>
      </c>
    </row>
    <row r="922" spans="1:7" x14ac:dyDescent="0.25">
      <c r="B922">
        <v>0</v>
      </c>
      <c r="G922">
        <v>0</v>
      </c>
    </row>
    <row r="923" spans="1:7" x14ac:dyDescent="0.25">
      <c r="B923">
        <v>0</v>
      </c>
      <c r="G923">
        <v>0</v>
      </c>
    </row>
    <row r="924" spans="1:7" x14ac:dyDescent="0.25">
      <c r="B924">
        <v>0</v>
      </c>
      <c r="G924">
        <v>0</v>
      </c>
    </row>
    <row r="925" spans="1:7" x14ac:dyDescent="0.25">
      <c r="B925">
        <v>0</v>
      </c>
    </row>
    <row r="926" spans="1:7" x14ac:dyDescent="0.25">
      <c r="B926">
        <v>0</v>
      </c>
    </row>
    <row r="927" spans="1:7" x14ac:dyDescent="0.25">
      <c r="B927">
        <v>0</v>
      </c>
    </row>
    <row r="928" spans="1:7" x14ac:dyDescent="0.25">
      <c r="B928">
        <v>0</v>
      </c>
    </row>
    <row r="929" spans="2:2" x14ac:dyDescent="0.25">
      <c r="B929">
        <v>0</v>
      </c>
    </row>
    <row r="930" spans="2:2" x14ac:dyDescent="0.25">
      <c r="B930">
        <v>0</v>
      </c>
    </row>
    <row r="931" spans="2:2" x14ac:dyDescent="0.25">
      <c r="B931">
        <v>0</v>
      </c>
    </row>
    <row r="932" spans="2:2" x14ac:dyDescent="0.25">
      <c r="B932">
        <v>0</v>
      </c>
    </row>
    <row r="933" spans="2:2" x14ac:dyDescent="0.25">
      <c r="B933">
        <v>0</v>
      </c>
    </row>
    <row r="934" spans="2:2" x14ac:dyDescent="0.25">
      <c r="B934">
        <v>0</v>
      </c>
    </row>
    <row r="935" spans="2:2" x14ac:dyDescent="0.25">
      <c r="B935">
        <v>0</v>
      </c>
    </row>
    <row r="936" spans="2:2" x14ac:dyDescent="0.25">
      <c r="B936">
        <v>0</v>
      </c>
    </row>
    <row r="937" spans="2:2" x14ac:dyDescent="0.25">
      <c r="B937">
        <v>0</v>
      </c>
    </row>
    <row r="938" spans="2:2" x14ac:dyDescent="0.25">
      <c r="B938">
        <v>0</v>
      </c>
    </row>
    <row r="939" spans="2:2" x14ac:dyDescent="0.25">
      <c r="B939">
        <v>0</v>
      </c>
    </row>
    <row r="940" spans="2:2" x14ac:dyDescent="0.25">
      <c r="B940">
        <v>0</v>
      </c>
    </row>
    <row r="941" spans="2:2" x14ac:dyDescent="0.25">
      <c r="B941">
        <v>0</v>
      </c>
    </row>
    <row r="942" spans="2:2" x14ac:dyDescent="0.25">
      <c r="B942">
        <v>0</v>
      </c>
    </row>
    <row r="943" spans="2:2" x14ac:dyDescent="0.25">
      <c r="B943">
        <v>0</v>
      </c>
    </row>
    <row r="944" spans="2:2" x14ac:dyDescent="0.25">
      <c r="B944">
        <v>0</v>
      </c>
    </row>
    <row r="945" spans="2:2" x14ac:dyDescent="0.25">
      <c r="B945">
        <v>0</v>
      </c>
    </row>
    <row r="946" spans="2:2" x14ac:dyDescent="0.25">
      <c r="B946">
        <v>0</v>
      </c>
    </row>
    <row r="947" spans="2:2" x14ac:dyDescent="0.25">
      <c r="B947">
        <v>0</v>
      </c>
    </row>
    <row r="948" spans="2:2" x14ac:dyDescent="0.25">
      <c r="B948">
        <v>0</v>
      </c>
    </row>
    <row r="949" spans="2:2" x14ac:dyDescent="0.25">
      <c r="B949">
        <v>0</v>
      </c>
    </row>
  </sheetData>
  <sortState ref="A2:H949">
    <sortCondition descending="1" ref="B2:B949"/>
  </sortState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49"/>
  <sheetViews>
    <sheetView topLeftCell="A187" workbookViewId="0">
      <selection activeCell="A2" sqref="A2:D200"/>
    </sheetView>
  </sheetViews>
  <sheetFormatPr defaultRowHeight="15" x14ac:dyDescent="0.25"/>
  <sheetData>
    <row r="1" spans="1:8" x14ac:dyDescent="0.25">
      <c r="A1" t="s">
        <v>0</v>
      </c>
      <c r="B1" t="s">
        <v>101</v>
      </c>
      <c r="C1" t="s">
        <v>4</v>
      </c>
      <c r="D1" t="s">
        <v>5</v>
      </c>
      <c r="E1" t="s">
        <v>99</v>
      </c>
      <c r="F1" t="s">
        <v>102</v>
      </c>
      <c r="G1" t="s">
        <v>91</v>
      </c>
      <c r="H1" t="s">
        <v>103</v>
      </c>
    </row>
    <row r="2" spans="1:8" x14ac:dyDescent="0.25">
      <c r="A2" t="s">
        <v>23</v>
      </c>
      <c r="B2" t="s">
        <v>75</v>
      </c>
      <c r="C2">
        <v>15.26111111</v>
      </c>
      <c r="D2">
        <v>3600</v>
      </c>
      <c r="E2">
        <v>12.35</v>
      </c>
      <c r="F2">
        <v>16.716666669999999</v>
      </c>
      <c r="G2">
        <v>6.7269230770000004</v>
      </c>
    </row>
    <row r="3" spans="1:8" x14ac:dyDescent="0.25">
      <c r="A3" t="s">
        <v>1</v>
      </c>
      <c r="B3" t="s">
        <v>68</v>
      </c>
      <c r="C3">
        <v>14.697204299999999</v>
      </c>
      <c r="D3">
        <v>4000</v>
      </c>
      <c r="E3">
        <v>8.8516129029999995</v>
      </c>
      <c r="F3">
        <v>17.62</v>
      </c>
      <c r="G3">
        <v>9.2920634920000005</v>
      </c>
    </row>
    <row r="4" spans="1:8" x14ac:dyDescent="0.25">
      <c r="A4" t="s">
        <v>18</v>
      </c>
      <c r="B4" t="s">
        <v>66</v>
      </c>
      <c r="C4">
        <v>9.8390476190000005</v>
      </c>
      <c r="D4">
        <v>3900</v>
      </c>
      <c r="E4">
        <v>9.8771428570000008</v>
      </c>
      <c r="F4">
        <v>9.82</v>
      </c>
      <c r="G4">
        <v>8.091346154</v>
      </c>
    </row>
    <row r="5" spans="1:8" x14ac:dyDescent="0.25">
      <c r="A5" t="s">
        <v>1</v>
      </c>
      <c r="B5" t="s">
        <v>43</v>
      </c>
      <c r="C5">
        <v>7.5139393940000003</v>
      </c>
      <c r="D5">
        <v>3100</v>
      </c>
      <c r="E5">
        <v>7.7818181820000003</v>
      </c>
      <c r="F5">
        <v>7.38</v>
      </c>
      <c r="G5">
        <v>9.480519481</v>
      </c>
    </row>
    <row r="6" spans="1:8" x14ac:dyDescent="0.25">
      <c r="A6" t="s">
        <v>21</v>
      </c>
      <c r="B6" t="s">
        <v>52</v>
      </c>
      <c r="C6">
        <v>9.5787581700000004</v>
      </c>
      <c r="D6">
        <v>2600</v>
      </c>
      <c r="E6">
        <v>7.2029411760000004</v>
      </c>
      <c r="F6">
        <v>10.766666669999999</v>
      </c>
      <c r="G6">
        <v>8.8988095240000007</v>
      </c>
    </row>
    <row r="7" spans="1:8" x14ac:dyDescent="0.25">
      <c r="A7" t="s">
        <v>1</v>
      </c>
      <c r="B7" t="s">
        <v>70</v>
      </c>
      <c r="C7">
        <v>0</v>
      </c>
      <c r="D7">
        <v>2500</v>
      </c>
      <c r="E7">
        <v>4.4107142860000002</v>
      </c>
      <c r="F7">
        <v>0</v>
      </c>
      <c r="G7">
        <v>7.9036496349999998</v>
      </c>
    </row>
    <row r="8" spans="1:8" x14ac:dyDescent="0.25">
      <c r="A8" t="s">
        <v>23</v>
      </c>
      <c r="B8" t="s">
        <v>58</v>
      </c>
      <c r="C8">
        <v>8.6234920630000005</v>
      </c>
      <c r="D8">
        <v>3100</v>
      </c>
      <c r="E8">
        <v>8.3371428569999999</v>
      </c>
      <c r="F8">
        <v>8.7666666670000009</v>
      </c>
      <c r="G8">
        <v>9.8152777780000005</v>
      </c>
    </row>
    <row r="9" spans="1:8" x14ac:dyDescent="0.25">
      <c r="A9" t="s">
        <v>18</v>
      </c>
      <c r="B9" t="s">
        <v>72</v>
      </c>
      <c r="C9">
        <v>5.5439560439999997</v>
      </c>
      <c r="D9">
        <v>2300</v>
      </c>
      <c r="E9">
        <v>4.9461538459999996</v>
      </c>
      <c r="F9">
        <v>5.8428571429999998</v>
      </c>
      <c r="G9">
        <v>6.3434343430000002</v>
      </c>
    </row>
    <row r="10" spans="1:8" x14ac:dyDescent="0.25">
      <c r="A10" t="s">
        <v>20</v>
      </c>
      <c r="B10" t="s">
        <v>53</v>
      </c>
      <c r="C10">
        <v>8.6966165409999991</v>
      </c>
      <c r="D10">
        <v>3100</v>
      </c>
      <c r="E10">
        <v>8.5184210530000009</v>
      </c>
      <c r="F10">
        <v>8.7857142859999993</v>
      </c>
      <c r="G10">
        <v>11.052</v>
      </c>
    </row>
    <row r="11" spans="1:8" x14ac:dyDescent="0.25">
      <c r="A11" t="s">
        <v>18</v>
      </c>
      <c r="B11" t="s">
        <v>45</v>
      </c>
      <c r="C11">
        <v>9.5893333330000008</v>
      </c>
      <c r="D11">
        <v>2800</v>
      </c>
      <c r="E11">
        <v>7.9279999999999999</v>
      </c>
      <c r="F11">
        <v>10.42</v>
      </c>
      <c r="G11">
        <v>9.7373134330000006</v>
      </c>
    </row>
    <row r="12" spans="1:8" x14ac:dyDescent="0.25">
      <c r="A12" t="s">
        <v>22</v>
      </c>
      <c r="B12" t="s">
        <v>69</v>
      </c>
      <c r="C12">
        <v>5.7721804509999997</v>
      </c>
      <c r="D12">
        <v>3100</v>
      </c>
      <c r="E12">
        <v>4.773684211</v>
      </c>
      <c r="F12">
        <v>6.2714285710000004</v>
      </c>
      <c r="G12">
        <v>0</v>
      </c>
    </row>
    <row r="13" spans="1:8" x14ac:dyDescent="0.25">
      <c r="A13" t="s">
        <v>18</v>
      </c>
      <c r="B13" t="s">
        <v>42</v>
      </c>
      <c r="C13">
        <v>10.10380952</v>
      </c>
      <c r="D13">
        <v>3300</v>
      </c>
      <c r="E13">
        <v>10.23142857</v>
      </c>
      <c r="F13">
        <v>10.039999999999999</v>
      </c>
      <c r="G13">
        <v>8.2468965520000008</v>
      </c>
    </row>
    <row r="14" spans="1:8" x14ac:dyDescent="0.25">
      <c r="A14" t="s">
        <v>21</v>
      </c>
      <c r="B14" t="s">
        <v>29</v>
      </c>
      <c r="C14">
        <v>11.01171171</v>
      </c>
      <c r="D14">
        <v>4900</v>
      </c>
      <c r="E14">
        <v>12.135135139999999</v>
      </c>
      <c r="F14">
        <v>10.45</v>
      </c>
      <c r="G14">
        <v>13.216875</v>
      </c>
    </row>
    <row r="15" spans="1:8" x14ac:dyDescent="0.25">
      <c r="A15" t="s">
        <v>21</v>
      </c>
      <c r="B15" t="s">
        <v>105</v>
      </c>
      <c r="C15">
        <v>0</v>
      </c>
      <c r="D15">
        <v>3400</v>
      </c>
      <c r="E15">
        <v>0</v>
      </c>
      <c r="F15">
        <v>0</v>
      </c>
      <c r="G15">
        <v>0</v>
      </c>
    </row>
    <row r="16" spans="1:8" x14ac:dyDescent="0.25">
      <c r="A16" t="s">
        <v>18</v>
      </c>
      <c r="B16" t="s">
        <v>27</v>
      </c>
      <c r="C16">
        <v>16.25858586</v>
      </c>
      <c r="D16">
        <v>4800</v>
      </c>
      <c r="E16">
        <v>15.509090909999999</v>
      </c>
      <c r="F16">
        <v>16.633333329999999</v>
      </c>
      <c r="G16">
        <v>13.90314465</v>
      </c>
    </row>
    <row r="17" spans="1:7" x14ac:dyDescent="0.25">
      <c r="A17" t="s">
        <v>23</v>
      </c>
      <c r="B17" t="s">
        <v>44</v>
      </c>
      <c r="C17">
        <v>10.061111110000001</v>
      </c>
      <c r="D17">
        <v>3200</v>
      </c>
      <c r="E17">
        <v>8.0833333330000006</v>
      </c>
      <c r="F17">
        <v>11.05</v>
      </c>
      <c r="G17">
        <v>11.35933333</v>
      </c>
    </row>
    <row r="18" spans="1:7" x14ac:dyDescent="0.25">
      <c r="A18" t="s">
        <v>23</v>
      </c>
      <c r="B18" t="s">
        <v>30</v>
      </c>
      <c r="C18">
        <v>7.2495726500000002</v>
      </c>
      <c r="D18">
        <v>3900</v>
      </c>
      <c r="E18">
        <v>9.115384615</v>
      </c>
      <c r="F18">
        <v>6.3166666669999998</v>
      </c>
      <c r="G18">
        <v>12.116455699999999</v>
      </c>
    </row>
    <row r="19" spans="1:7" x14ac:dyDescent="0.25">
      <c r="A19" t="s">
        <v>18</v>
      </c>
      <c r="B19" t="s">
        <v>63</v>
      </c>
      <c r="C19">
        <v>7.3417204299999996</v>
      </c>
      <c r="D19">
        <v>2600</v>
      </c>
      <c r="E19">
        <v>6.9451612899999997</v>
      </c>
      <c r="F19">
        <v>7.54</v>
      </c>
      <c r="G19">
        <v>5.7428571430000002</v>
      </c>
    </row>
    <row r="20" spans="1:7" x14ac:dyDescent="0.25">
      <c r="A20" t="s">
        <v>23</v>
      </c>
      <c r="B20" t="s">
        <v>41</v>
      </c>
      <c r="C20">
        <v>15.18700129</v>
      </c>
      <c r="D20">
        <v>4400</v>
      </c>
      <c r="E20">
        <v>13.53243243</v>
      </c>
      <c r="F20">
        <v>16.014285709999999</v>
      </c>
      <c r="G20">
        <v>8.9466101689999995</v>
      </c>
    </row>
    <row r="21" spans="1:7" x14ac:dyDescent="0.25">
      <c r="A21" t="s">
        <v>18</v>
      </c>
      <c r="B21" t="s">
        <v>77</v>
      </c>
      <c r="C21">
        <v>0</v>
      </c>
      <c r="D21">
        <v>2200</v>
      </c>
      <c r="E21">
        <v>3.4111111109999999</v>
      </c>
      <c r="F21">
        <v>0</v>
      </c>
      <c r="G21">
        <v>0</v>
      </c>
    </row>
    <row r="22" spans="1:7" x14ac:dyDescent="0.25">
      <c r="A22" t="s">
        <v>23</v>
      </c>
      <c r="B22" t="s">
        <v>49</v>
      </c>
      <c r="C22">
        <v>9.3377777779999995</v>
      </c>
      <c r="D22">
        <v>2400</v>
      </c>
      <c r="E22">
        <v>8.3800000000000008</v>
      </c>
      <c r="F22">
        <v>9.8166666669999998</v>
      </c>
      <c r="G22">
        <v>8.94</v>
      </c>
    </row>
    <row r="23" spans="1:7" x14ac:dyDescent="0.25">
      <c r="A23" t="s">
        <v>18</v>
      </c>
      <c r="B23" t="s">
        <v>50</v>
      </c>
      <c r="C23">
        <v>5.8206766920000002</v>
      </c>
      <c r="D23">
        <v>2700</v>
      </c>
      <c r="E23">
        <v>7.976315789</v>
      </c>
      <c r="F23">
        <v>4.7428571430000002</v>
      </c>
      <c r="G23">
        <v>9.9662420380000007</v>
      </c>
    </row>
    <row r="24" spans="1:7" x14ac:dyDescent="0.25">
      <c r="A24" t="s">
        <v>18</v>
      </c>
      <c r="B24" t="s">
        <v>38</v>
      </c>
      <c r="C24">
        <v>13.85</v>
      </c>
      <c r="D24">
        <v>3700</v>
      </c>
      <c r="E24">
        <v>12.45</v>
      </c>
      <c r="F24">
        <v>14.55</v>
      </c>
      <c r="G24">
        <v>10.29215686</v>
      </c>
    </row>
    <row r="25" spans="1:7" x14ac:dyDescent="0.25">
      <c r="A25" t="s">
        <v>21</v>
      </c>
      <c r="B25" t="s">
        <v>65</v>
      </c>
      <c r="C25">
        <v>7.4095238099999996</v>
      </c>
      <c r="D25">
        <v>4000</v>
      </c>
      <c r="E25">
        <v>9.8285714290000001</v>
      </c>
      <c r="F25">
        <v>6.2</v>
      </c>
      <c r="G25">
        <v>10.51523179</v>
      </c>
    </row>
    <row r="26" spans="1:7" x14ac:dyDescent="0.25">
      <c r="A26" t="s">
        <v>1</v>
      </c>
      <c r="B26" t="s">
        <v>78</v>
      </c>
      <c r="C26">
        <v>0</v>
      </c>
      <c r="D26">
        <v>2100</v>
      </c>
      <c r="E26">
        <v>0</v>
      </c>
      <c r="F26">
        <v>0</v>
      </c>
      <c r="G26">
        <v>0</v>
      </c>
    </row>
    <row r="27" spans="1:7" x14ac:dyDescent="0.25">
      <c r="A27" t="s">
        <v>1</v>
      </c>
      <c r="B27" t="s">
        <v>39</v>
      </c>
      <c r="C27">
        <v>6.9717948720000003</v>
      </c>
      <c r="D27">
        <v>2900</v>
      </c>
      <c r="E27">
        <v>6.5153846150000003</v>
      </c>
      <c r="F27">
        <v>7.2</v>
      </c>
      <c r="G27">
        <v>9.9499999999999993</v>
      </c>
    </row>
    <row r="28" spans="1:7" x14ac:dyDescent="0.25">
      <c r="A28" t="s">
        <v>21</v>
      </c>
      <c r="B28" t="s">
        <v>64</v>
      </c>
      <c r="C28">
        <v>11.861027569999999</v>
      </c>
      <c r="D28">
        <v>3500</v>
      </c>
      <c r="E28">
        <v>12.09736842</v>
      </c>
      <c r="F28">
        <v>11.74285714</v>
      </c>
      <c r="G28">
        <v>0</v>
      </c>
    </row>
    <row r="29" spans="1:7" x14ac:dyDescent="0.25">
      <c r="A29" t="s">
        <v>18</v>
      </c>
      <c r="B29" t="s">
        <v>57</v>
      </c>
      <c r="C29">
        <v>7.887179487</v>
      </c>
      <c r="D29">
        <v>3600</v>
      </c>
      <c r="E29">
        <v>6.961538462</v>
      </c>
      <c r="F29">
        <v>8.35</v>
      </c>
      <c r="G29">
        <v>9.3635036500000002</v>
      </c>
    </row>
    <row r="30" spans="1:7" x14ac:dyDescent="0.25">
      <c r="A30" t="s">
        <v>20</v>
      </c>
      <c r="B30" t="s">
        <v>79</v>
      </c>
      <c r="C30">
        <v>11.6384127</v>
      </c>
      <c r="D30">
        <v>2500</v>
      </c>
      <c r="E30">
        <v>9.1485714290000004</v>
      </c>
      <c r="F30">
        <v>12.883333329999999</v>
      </c>
      <c r="G30">
        <v>6.8793103450000004</v>
      </c>
    </row>
    <row r="31" spans="1:7" x14ac:dyDescent="0.25">
      <c r="A31" t="s">
        <v>1</v>
      </c>
      <c r="B31" t="s">
        <v>61</v>
      </c>
      <c r="C31">
        <v>12.346666669999999</v>
      </c>
      <c r="D31">
        <v>2500</v>
      </c>
      <c r="E31">
        <v>9.4</v>
      </c>
      <c r="F31">
        <v>13.82</v>
      </c>
      <c r="G31">
        <v>6.7733333330000001</v>
      </c>
    </row>
    <row r="32" spans="1:7" x14ac:dyDescent="0.25">
      <c r="A32" t="s">
        <v>18</v>
      </c>
      <c r="B32" t="s">
        <v>35</v>
      </c>
      <c r="C32">
        <v>0</v>
      </c>
      <c r="D32">
        <v>3300</v>
      </c>
      <c r="E32">
        <v>0</v>
      </c>
      <c r="F32">
        <v>0</v>
      </c>
      <c r="G32">
        <v>11.323333330000001</v>
      </c>
    </row>
    <row r="33" spans="1:7" x14ac:dyDescent="0.25">
      <c r="A33" t="s">
        <v>20</v>
      </c>
      <c r="B33" t="s">
        <v>33</v>
      </c>
      <c r="C33">
        <v>8.6222222219999995</v>
      </c>
      <c r="D33">
        <v>3600</v>
      </c>
      <c r="E33">
        <v>9.6</v>
      </c>
      <c r="F33">
        <v>8.1333333329999995</v>
      </c>
      <c r="G33">
        <v>11.894771240000001</v>
      </c>
    </row>
    <row r="34" spans="1:7" x14ac:dyDescent="0.25">
      <c r="A34" t="s">
        <v>18</v>
      </c>
      <c r="B34" t="s">
        <v>54</v>
      </c>
      <c r="C34">
        <v>9.9219780219999993</v>
      </c>
      <c r="D34">
        <v>4000</v>
      </c>
      <c r="E34">
        <v>11.023076919999999</v>
      </c>
      <c r="F34">
        <v>9.3714285709999992</v>
      </c>
      <c r="G34">
        <v>11.23974359</v>
      </c>
    </row>
    <row r="35" spans="1:7" x14ac:dyDescent="0.25">
      <c r="A35" t="s">
        <v>22</v>
      </c>
      <c r="B35" t="s">
        <v>37</v>
      </c>
      <c r="C35">
        <v>8.4589446590000001</v>
      </c>
      <c r="D35">
        <v>2800</v>
      </c>
      <c r="E35">
        <v>10.205405409999999</v>
      </c>
      <c r="F35">
        <v>7.585714286</v>
      </c>
      <c r="G35">
        <v>9.8265306120000009</v>
      </c>
    </row>
    <row r="36" spans="1:7" x14ac:dyDescent="0.25">
      <c r="A36" t="s">
        <v>1</v>
      </c>
      <c r="B36" t="s">
        <v>59</v>
      </c>
      <c r="C36">
        <v>3.2539682540000001</v>
      </c>
      <c r="D36">
        <v>3100</v>
      </c>
      <c r="E36">
        <v>5.7619047620000003</v>
      </c>
      <c r="F36">
        <v>2</v>
      </c>
      <c r="G36">
        <v>5.6833333330000002</v>
      </c>
    </row>
    <row r="37" spans="1:7" x14ac:dyDescent="0.25">
      <c r="A37" t="s">
        <v>20</v>
      </c>
      <c r="B37" t="s">
        <v>28</v>
      </c>
      <c r="C37">
        <v>8.0031328320000004</v>
      </c>
      <c r="D37">
        <v>3300</v>
      </c>
      <c r="E37">
        <v>8.1236842110000005</v>
      </c>
      <c r="F37">
        <v>7.9428571430000003</v>
      </c>
      <c r="G37">
        <v>11.34109589</v>
      </c>
    </row>
    <row r="38" spans="1:7" x14ac:dyDescent="0.25">
      <c r="A38" t="s">
        <v>20</v>
      </c>
      <c r="B38" t="s">
        <v>74</v>
      </c>
      <c r="C38">
        <v>0</v>
      </c>
      <c r="D38">
        <v>2000</v>
      </c>
      <c r="E38">
        <v>2.5499999999999998</v>
      </c>
      <c r="F38">
        <v>0</v>
      </c>
      <c r="G38">
        <v>0</v>
      </c>
    </row>
    <row r="39" spans="1:7" x14ac:dyDescent="0.25">
      <c r="A39" t="s">
        <v>18</v>
      </c>
      <c r="B39" t="s">
        <v>56</v>
      </c>
      <c r="C39">
        <v>5.6341880340000001</v>
      </c>
      <c r="D39">
        <v>2600</v>
      </c>
      <c r="E39">
        <v>7.3692307689999996</v>
      </c>
      <c r="F39">
        <v>4.766666667</v>
      </c>
      <c r="G39">
        <v>0</v>
      </c>
    </row>
    <row r="40" spans="1:7" x14ac:dyDescent="0.25">
      <c r="A40" t="s">
        <v>20</v>
      </c>
      <c r="B40" t="s">
        <v>67</v>
      </c>
      <c r="C40">
        <v>3.052380952</v>
      </c>
      <c r="D40">
        <v>2000</v>
      </c>
      <c r="E40">
        <v>5.5571428569999997</v>
      </c>
      <c r="F40">
        <v>1.8</v>
      </c>
      <c r="G40">
        <v>0</v>
      </c>
    </row>
    <row r="41" spans="1:7" x14ac:dyDescent="0.25">
      <c r="A41" t="s">
        <v>22</v>
      </c>
      <c r="B41" t="s">
        <v>51</v>
      </c>
      <c r="C41">
        <v>9.5509259259999997</v>
      </c>
      <c r="D41">
        <v>4300</v>
      </c>
      <c r="E41">
        <v>11.05277778</v>
      </c>
      <c r="F41">
        <v>8.8000000000000007</v>
      </c>
      <c r="G41">
        <v>11.10191083</v>
      </c>
    </row>
    <row r="42" spans="1:7" x14ac:dyDescent="0.25">
      <c r="A42" t="s">
        <v>23</v>
      </c>
      <c r="B42" t="s">
        <v>104</v>
      </c>
      <c r="C42">
        <v>14.55947712</v>
      </c>
      <c r="D42">
        <v>4100</v>
      </c>
      <c r="E42">
        <v>16.611764709999999</v>
      </c>
      <c r="F42">
        <v>13.53333333</v>
      </c>
      <c r="G42">
        <v>0</v>
      </c>
    </row>
    <row r="43" spans="1:7" x14ac:dyDescent="0.25">
      <c r="A43" t="s">
        <v>20</v>
      </c>
      <c r="B43" t="s">
        <v>73</v>
      </c>
      <c r="C43">
        <v>11.349206349999999</v>
      </c>
      <c r="D43">
        <v>3700</v>
      </c>
      <c r="E43">
        <v>9.9809523809999998</v>
      </c>
      <c r="F43">
        <v>12.03333333</v>
      </c>
      <c r="G43">
        <v>0</v>
      </c>
    </row>
    <row r="44" spans="1:7" x14ac:dyDescent="0.25">
      <c r="A44" t="s">
        <v>20</v>
      </c>
      <c r="B44" t="s">
        <v>60</v>
      </c>
      <c r="C44">
        <v>8.7988505749999995</v>
      </c>
      <c r="D44">
        <v>2900</v>
      </c>
      <c r="E44">
        <v>4.4965517239999997</v>
      </c>
      <c r="F44">
        <v>10.95</v>
      </c>
      <c r="G44">
        <v>8.7594202899999996</v>
      </c>
    </row>
    <row r="45" spans="1:7" x14ac:dyDescent="0.25">
      <c r="A45" t="s">
        <v>18</v>
      </c>
      <c r="B45" t="s">
        <v>31</v>
      </c>
      <c r="C45">
        <v>11.46966967</v>
      </c>
      <c r="D45">
        <v>4000</v>
      </c>
      <c r="E45">
        <v>12.97567568</v>
      </c>
      <c r="F45">
        <v>10.71666667</v>
      </c>
      <c r="G45">
        <v>13.07132867</v>
      </c>
    </row>
    <row r="46" spans="1:7" x14ac:dyDescent="0.25">
      <c r="A46" t="s">
        <v>18</v>
      </c>
      <c r="B46" t="s">
        <v>32</v>
      </c>
      <c r="C46">
        <v>7.9555555560000002</v>
      </c>
      <c r="D46">
        <v>3400</v>
      </c>
      <c r="E46">
        <v>6.9666666670000001</v>
      </c>
      <c r="F46">
        <v>8.4499999999999993</v>
      </c>
      <c r="G46">
        <v>11.10933333</v>
      </c>
    </row>
    <row r="47" spans="1:7" x14ac:dyDescent="0.25">
      <c r="A47" t="s">
        <v>18</v>
      </c>
      <c r="B47" t="s">
        <v>40</v>
      </c>
      <c r="C47">
        <v>8.4673101670000008</v>
      </c>
      <c r="D47">
        <v>3300</v>
      </c>
      <c r="E47">
        <v>9.5162162160000001</v>
      </c>
      <c r="F47">
        <v>7.9428571430000003</v>
      </c>
      <c r="G47">
        <v>8.7161016950000008</v>
      </c>
    </row>
    <row r="48" spans="1:7" x14ac:dyDescent="0.25">
      <c r="A48" t="s">
        <v>18</v>
      </c>
      <c r="B48" t="s">
        <v>36</v>
      </c>
      <c r="C48">
        <v>6.6960317460000001</v>
      </c>
      <c r="D48">
        <v>3200</v>
      </c>
      <c r="E48">
        <v>7.9166666670000003</v>
      </c>
      <c r="F48">
        <v>6.085714286</v>
      </c>
      <c r="G48">
        <v>10.67553191</v>
      </c>
    </row>
    <row r="49" spans="1:8" x14ac:dyDescent="0.25">
      <c r="A49" t="s">
        <v>23</v>
      </c>
      <c r="B49" t="s">
        <v>48</v>
      </c>
      <c r="C49">
        <v>0</v>
      </c>
      <c r="D49">
        <v>2400</v>
      </c>
      <c r="E49">
        <v>4.9000000000000004</v>
      </c>
      <c r="F49">
        <v>0</v>
      </c>
      <c r="G49">
        <v>9.3077586209999996</v>
      </c>
    </row>
    <row r="50" spans="1:8" x14ac:dyDescent="0.25">
      <c r="A50" t="s">
        <v>18</v>
      </c>
      <c r="B50" t="s">
        <v>62</v>
      </c>
      <c r="C50">
        <v>8.1880000000000006</v>
      </c>
      <c r="D50">
        <v>2400</v>
      </c>
      <c r="E50">
        <v>5.2640000000000002</v>
      </c>
      <c r="F50">
        <v>9.65</v>
      </c>
      <c r="G50">
        <v>0</v>
      </c>
    </row>
    <row r="51" spans="1:8" x14ac:dyDescent="0.25">
      <c r="A51" t="s">
        <v>18</v>
      </c>
      <c r="B51" t="s">
        <v>71</v>
      </c>
      <c r="C51">
        <v>8.8943209880000005</v>
      </c>
      <c r="D51">
        <v>2600</v>
      </c>
      <c r="E51">
        <v>7.9629629629999998</v>
      </c>
      <c r="F51">
        <v>9.36</v>
      </c>
      <c r="G51">
        <v>3.579816514</v>
      </c>
    </row>
    <row r="52" spans="1:8" x14ac:dyDescent="0.25">
      <c r="A52" t="s">
        <v>22</v>
      </c>
      <c r="B52" t="s">
        <v>76</v>
      </c>
      <c r="C52">
        <v>4.666165414</v>
      </c>
      <c r="D52">
        <v>2400</v>
      </c>
      <c r="E52">
        <v>7.0842105259999997</v>
      </c>
      <c r="F52">
        <v>3.457142857</v>
      </c>
      <c r="G52">
        <v>7.6580645159999996</v>
      </c>
    </row>
    <row r="53" spans="1:8" x14ac:dyDescent="0.25">
      <c r="A53" t="s">
        <v>20</v>
      </c>
      <c r="B53" t="s">
        <v>55</v>
      </c>
      <c r="C53">
        <v>6.7206896550000002</v>
      </c>
      <c r="D53">
        <v>2800</v>
      </c>
      <c r="E53">
        <v>6.7620689660000002</v>
      </c>
      <c r="F53">
        <v>6.7</v>
      </c>
      <c r="G53">
        <v>6.4085714290000002</v>
      </c>
    </row>
    <row r="54" spans="1:8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8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8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8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8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8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8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8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8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8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</sheetData>
  <sortState ref="A2:H949">
    <sortCondition descending="1" ref="B2:B94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MLB Solver</vt:lpstr>
      <vt:lpstr>Optimizer</vt:lpstr>
      <vt:lpstr>Pitchers</vt:lpstr>
      <vt:lpstr>Batters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2017-05-15T03:58:13Z</dcterms:modified>
</cp:coreProperties>
</file>